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chedule" sheetId="1" r:id="rId4"/>
  </sheets>
  <definedNames>
    <definedName localSheetId="0" name="hoy">TODAY()</definedName>
    <definedName localSheetId="0" name="task_progress">ProjectSchedule!$D$1</definedName>
    <definedName localSheetId="0" name="task_end">ProjectSchedule!$F$1</definedName>
    <definedName name="Semana_para_mostrar">ProjectSchedule!$E$4</definedName>
    <definedName name="Inicio_del_proyecto">ProjectSchedule!$E$3</definedName>
    <definedName localSheetId="0" name="task_start">ProjectSchedule!$E$1</definedName>
  </definedNames>
  <calcPr/>
  <extLst>
    <ext uri="GoogleSheetsCustomDataVersion2">
      <go:sheetsCustomData xmlns:go="http://customooxmlschemas.google.com/" r:id="rId5" roundtripDataChecksum="4bjBclvc1CbcWD/tkAzt1wvX3gx0zyj5YctPxJ3OauY="/>
    </ext>
  </extLst>
</workbook>
</file>

<file path=xl/sharedStrings.xml><?xml version="1.0" encoding="utf-8"?>
<sst xmlns="http://schemas.openxmlformats.org/spreadsheetml/2006/main" count="143" uniqueCount="97">
  <si>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</si>
  <si>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DecklyBuy TCG</t>
  </si>
  <si>
    <t>GRÁFICO GANTT SIMPLE de Vertex42.com</t>
  </si>
  <si>
    <t>Escriba el nombre de la compañía en la celda B2.</t>
  </si>
  <si>
    <t>Desarrollo de sofware para proyecto final.</t>
  </si>
  <si>
    <t>https://www.vertex42.com/ExcelTemplates/simple-gantt-chart.html</t>
  </si>
  <si>
    <t>Escriba el nombre del responsable del proyecto en la celda B3. Escriba la fecha de comienzo del proyecto en la celda E3. Inicio del proyecto: la etiqueta se encuentra en la celda C3.</t>
  </si>
  <si>
    <t>Nombres: Sebastián Bravo, Cristobal Cisternas, Sebastián Fernandez.</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</si>
  <si>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</si>
  <si>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</si>
  <si>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</si>
  <si>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</si>
  <si>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</si>
  <si>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</si>
  <si>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ASIGNADO
A</t>
  </si>
  <si>
    <t>PROGRESO</t>
  </si>
  <si>
    <t>INICIO</t>
  </si>
  <si>
    <t>FIN</t>
  </si>
  <si>
    <t>DÍAS</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</si>
  <si>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</si>
  <si>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</si>
  <si>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1. Fase de Planificación</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</si>
  <si>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</si>
  <si>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Definición de objetivos del proyecto</t>
  </si>
  <si>
    <t>Equipo</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</si>
  <si>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</si>
  <si>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Definir público objetivo</t>
  </si>
  <si>
    <t>Identificación de requisitos funcionales y no funcionales</t>
  </si>
  <si>
    <t>Diseño de mockups y prototipos UI</t>
  </si>
  <si>
    <t>Sebastián Bravo</t>
  </si>
  <si>
    <t>Selección de tecnologías</t>
  </si>
  <si>
    <t>Diseño inicial de base de datos</t>
  </si>
  <si>
    <t>Cristóbal Cisternas</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</si>
  <si>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</si>
  <si>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2. Fase de Producción</t>
  </si>
  <si>
    <t>Frontend</t>
  </si>
  <si>
    <t>Configuración proyecto React + Vite</t>
  </si>
  <si>
    <t>Diseño del Header y navegación</t>
  </si>
  <si>
    <t>Creación de páginas principales</t>
  </si>
  <si>
    <t>Sistema de búsqueda de cartas</t>
  </si>
  <si>
    <t>Sebastian Bravo</t>
  </si>
  <si>
    <t>Sistema de categorías</t>
  </si>
  <si>
    <t>Diseño responsive</t>
  </si>
  <si>
    <t>Implementación de login UI</t>
  </si>
  <si>
    <t>Integración con backend</t>
  </si>
  <si>
    <t>Manejo de sesión del usuario</t>
  </si>
  <si>
    <t>Personalización visual y estilos CSS</t>
  </si>
  <si>
    <t>Backend</t>
  </si>
  <si>
    <t>Configuración Spring Boot</t>
  </si>
  <si>
    <t>Configuración Maven y dependencias</t>
  </si>
  <si>
    <t>Integración OAuth2 Google</t>
  </si>
  <si>
    <t>Creación de endpoints API REST</t>
  </si>
  <si>
    <t>Configuración CORS</t>
  </si>
  <si>
    <t>Conexión a base de datos</t>
  </si>
  <si>
    <t>Lógica de autenticación y usuarios</t>
  </si>
  <si>
    <t>Gestión de publicaciones/cartas</t>
  </si>
  <si>
    <t>Mobile</t>
  </si>
  <si>
    <t>Configuración inicial React Native / Expo</t>
  </si>
  <si>
    <t>Sebastian Fernandez</t>
  </si>
  <si>
    <t>Configuración de navegación con Expo Router</t>
  </si>
  <si>
    <t>Diseño de pantallas principales mobile</t>
  </si>
  <si>
    <t>Implementación de login, registro y recuperación</t>
  </si>
  <si>
    <t>Implementación de Home y publicaciones base</t>
  </si>
  <si>
    <t>Implementación de lista de deseados</t>
  </si>
  <si>
    <t>Implementación de carrito, perfil y mis publicaciones</t>
  </si>
  <si>
    <t>Implementación de creación de publicaciones</t>
  </si>
  <si>
    <t>Conexión de Mobile con APIs REST del backend</t>
  </si>
  <si>
    <t>Configuración de conexión a servicios en la nube</t>
  </si>
  <si>
    <t>Base de datos</t>
  </si>
  <si>
    <t>Modelado de entidades</t>
  </si>
  <si>
    <t>Creación de tablas</t>
  </si>
  <si>
    <t>Sebastián Fernandez</t>
  </si>
  <si>
    <t>Relaciones entre usuarios y publicaciones</t>
  </si>
  <si>
    <t>Pruebas CRUD</t>
  </si>
  <si>
    <t>Integración</t>
  </si>
  <si>
    <t>Pruebas de login Google</t>
  </si>
  <si>
    <t>Persistencia de sesión</t>
  </si>
  <si>
    <t>Bloque de título fase de ejemplo</t>
  </si>
  <si>
    <t>3. Fase de Lanzamiento</t>
  </si>
  <si>
    <t>Testing general del sistema</t>
  </si>
  <si>
    <t>Corrección de errores</t>
  </si>
  <si>
    <t>Optimización visual y rendimiento</t>
  </si>
  <si>
    <t>Validación de formularios</t>
  </si>
  <si>
    <t>Configuración de despliegue</t>
  </si>
  <si>
    <t>Configuración de variables de entorno</t>
  </si>
  <si>
    <t>Deploy frontend</t>
  </si>
  <si>
    <t>Deploy backend</t>
  </si>
  <si>
    <t>Configuración dominio/hosting</t>
  </si>
  <si>
    <t>Verificación de seguridad básica</t>
  </si>
  <si>
    <t>Documentación técnica</t>
  </si>
  <si>
    <t>4. Post-Lanzamiento</t>
  </si>
  <si>
    <t>Monitoreo del sistema</t>
  </si>
  <si>
    <t>Copias de seguridad</t>
  </si>
  <si>
    <t>Revisión de seguridad</t>
  </si>
  <si>
    <t>Esta es una fila vacía.</t>
  </si>
  <si>
    <t>Esta fila indica el final de la programación del proyecto. NO escriba nada en esta fila. 
Inserte nuevas filas encima de ésta para continuar creando la programación del proyecto.</t>
  </si>
  <si>
    <t>Inserte nuevas filas ENCIMA de ésta</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</si>
</sst>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d\,\ yyyy\-mm\-dd"/>
    <numFmt numFmtId="165" formatCode="d\ &quot;de&quot;\ mmmm\ &quot;de&quot;\ yyyy"/>
    <numFmt numFmtId="166" formatCode="d"/>
    <numFmt numFmtId="167" formatCode="d\-m\-yy"/>
    <numFmt numFmtId="168" formatCode="d-m-yy"/>
  </numFmts>
  <fonts count="21">
    <font>
      <sz val="11.0"/>
      <color theme="1"/>
      <name val="Calibri"/>
      <scheme val="minor"/>
    </font>
    <font>
      <sz val="11.0"/>
      <color rgb="FFFFFFFF"/>
      <name val="Calibri"/>
    </font>
    <font>
      <b/>
      <sz val="22.0"/>
      <color rgb="FF595959"/>
      <name val="Calibri"/>
    </font>
    <font>
      <b/>
      <sz val="20.0"/>
      <color rgb="FF366092"/>
      <name val="Calibri"/>
    </font>
    <font>
      <sz val="10.0"/>
      <color theme="1"/>
      <name val="Calibri"/>
    </font>
    <font>
      <b/>
      <u/>
      <sz val="11.0"/>
      <color rgb="FF0000FF"/>
      <name val="Calibri"/>
    </font>
    <font>
      <sz val="11.0"/>
      <color theme="0"/>
      <name val="Calibri"/>
    </font>
    <font>
      <sz val="14.0"/>
      <color theme="1"/>
      <name val="Calibri"/>
    </font>
    <font>
      <sz val="11.0"/>
      <color theme="1"/>
      <name val="Calibri"/>
    </font>
    <font>
      <u/>
      <sz val="10.0"/>
      <color rgb="FF0000FF"/>
      <name val="Arial"/>
    </font>
    <font/>
    <font>
      <sz val="9.0"/>
      <color theme="1"/>
      <name val="Calibri"/>
    </font>
    <font>
      <b/>
      <sz val="9.0"/>
      <color rgb="FFFFFFFF"/>
      <name val="Calibri"/>
    </font>
    <font>
      <b/>
      <sz val="9.0"/>
      <color theme="0"/>
      <name val="Calibri"/>
    </font>
    <font>
      <sz val="8.0"/>
      <color theme="0"/>
      <name val="Calibri"/>
    </font>
    <font>
      <color theme="1"/>
      <name val="Calibri"/>
      <scheme val="minor"/>
    </font>
    <font>
      <b/>
      <sz val="11.0"/>
      <color theme="1"/>
      <name val="Calibri"/>
    </font>
    <font>
      <i/>
      <sz val="9.0"/>
      <color theme="1"/>
      <name val="Calibri"/>
    </font>
    <font>
      <sz val="10.0"/>
      <color rgb="FF7F7F7F"/>
      <name val="Calibri"/>
    </font>
    <font>
      <b/>
      <sz val="11.0"/>
      <color rgb="FF7F7F7F"/>
      <name val="Calibri"/>
    </font>
    <font>
      <sz val="10.0"/>
      <color rgb="FF7F7F7F"/>
      <name val="Arial"/>
    </font>
  </fonts>
  <fills count="16">
    <fill>
      <patternFill patternType="none"/>
    </fill>
    <fill>
      <patternFill patternType="lightGray"/>
    </fill>
    <fill>
      <patternFill patternType="solid">
        <fgColor rgb="FFD8D8D8"/>
        <bgColor rgb="FFD8D8D8"/>
      </patternFill>
    </fill>
    <fill>
      <patternFill patternType="solid">
        <fgColor rgb="FF595959"/>
        <bgColor rgb="FF595959"/>
      </patternFill>
    </fill>
    <fill>
      <patternFill patternType="solid">
        <fgColor rgb="FFB8CCE4"/>
        <bgColor rgb="FFB8CCE4"/>
      </patternFill>
    </fill>
    <fill>
      <patternFill patternType="solid">
        <fgColor rgb="FFDBE5F1"/>
        <bgColor rgb="FFDBE5F1"/>
      </patternFill>
    </fill>
    <fill>
      <patternFill patternType="solid">
        <fgColor rgb="FF4A86E8"/>
        <bgColor rgb="FF4A86E8"/>
      </patternFill>
    </fill>
    <fill>
      <patternFill patternType="solid">
        <fgColor rgb="FFE5B8B7"/>
        <bgColor rgb="FFE5B8B7"/>
      </patternFill>
    </fill>
    <fill>
      <patternFill patternType="solid">
        <fgColor rgb="FFF2DBDB"/>
        <bgColor rgb="FFF2DBDB"/>
      </patternFill>
    </fill>
    <fill>
      <patternFill patternType="solid">
        <fgColor rgb="FFE06666"/>
        <bgColor rgb="FFE06666"/>
      </patternFill>
    </fill>
    <fill>
      <patternFill patternType="solid">
        <fgColor rgb="FFD6E3BC"/>
        <bgColor rgb="FFD6E3BC"/>
      </patternFill>
    </fill>
    <fill>
      <patternFill patternType="solid">
        <fgColor rgb="FFEAF1DD"/>
        <bgColor rgb="FFEAF1DD"/>
      </patternFill>
    </fill>
    <fill>
      <patternFill patternType="solid">
        <fgColor rgb="FF93C47D"/>
        <bgColor rgb="FF93C47D"/>
      </patternFill>
    </fill>
    <fill>
      <patternFill patternType="solid">
        <fgColor rgb="FFCCC0D9"/>
        <bgColor rgb="FFCCC0D9"/>
      </patternFill>
    </fill>
    <fill>
      <patternFill patternType="solid">
        <fgColor rgb="FFE5DFEC"/>
        <bgColor rgb="FFE5DFEC"/>
      </patternFill>
    </fill>
    <fill>
      <patternFill patternType="solid">
        <fgColor rgb="FFF2F2F2"/>
        <bgColor rgb="FFF2F2F2"/>
      </patternFill>
    </fill>
  </fills>
  <borders count="20">
    <border/>
    <border>
      <right style="thin">
        <color rgb="FFA5A5A5"/>
      </right>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top style="thin">
        <color rgb="FFA5A5A5"/>
      </top>
      <bottom/>
    </border>
    <border>
      <top style="thin">
        <color rgb="FFA5A5A5"/>
      </top>
      <bottom/>
    </border>
    <border>
      <right style="thin">
        <color rgb="FFA5A5A5"/>
      </right>
      <top style="thin">
        <color rgb="FFA5A5A5"/>
      </top>
      <bottom/>
    </border>
    <border>
      <bottom style="thin">
        <color rgb="FFA5A5A5"/>
      </bottom>
    </border>
    <border>
      <left style="thin">
        <color rgb="FFA5A5A5"/>
      </left>
      <right/>
      <top/>
      <bottom/>
    </border>
    <border>
      <left/>
      <right/>
      <top/>
      <bottom/>
    </border>
    <border>
      <left/>
      <right style="thin">
        <color rgb="FFA5A5A5"/>
      </right>
      <top/>
      <bottom/>
    </border>
    <border>
      <left/>
      <right/>
      <top style="thin">
        <color rgb="FFA5A5A5"/>
      </top>
      <bottom/>
    </border>
    <border>
      <left style="thin">
        <color rgb="FFA5A5A5"/>
      </left>
      <right style="thin">
        <color rgb="FFA5A5A5"/>
      </right>
      <top/>
      <bottom style="medium">
        <color rgb="FFD8D8D8"/>
      </bottom>
    </border>
    <border>
      <left style="thin">
        <color rgb="FFD8D8D8"/>
      </left>
      <right style="thin">
        <color rgb="FFD8D8D8"/>
      </right>
      <top style="medium">
        <color rgb="FFD8D8D8"/>
      </top>
      <bottom style="medium">
        <color rgb="FFD8D8D8"/>
      </bottom>
    </border>
    <border>
      <left/>
      <right/>
      <top style="medium">
        <color rgb="FFD8D8D8"/>
      </top>
      <bottom style="medium">
        <color rgb="FFD8D8D8"/>
      </bottom>
    </border>
    <border>
      <top style="medium">
        <color rgb="FFD8D8D8"/>
      </top>
      <bottom style="medium">
        <color rgb="FFD8D8D8"/>
      </bottom>
    </border>
    <border>
      <left style="thin">
        <color rgb="FFD8D8D8"/>
      </left>
      <top style="medium">
        <color rgb="FFD8D8D8"/>
      </top>
      <bottom style="medium">
        <color rgb="FFD8D8D8"/>
      </bottom>
    </border>
    <border>
      <right style="thin">
        <color rgb="FFD8D8D8"/>
      </right>
      <top style="medium">
        <color rgb="FFD8D8D8"/>
      </top>
      <bottom style="medium">
        <color rgb="FFD8D8D8"/>
      </bottom>
    </border>
    <border>
      <left style="thin">
        <color rgb="FFD8D8D8"/>
      </left>
      <right style="thin">
        <color rgb="FFD8D8D8"/>
      </right>
      <bottom style="medium">
        <color rgb="FFD8D8D8"/>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left" readingOrder="0"/>
    </xf>
    <xf borderId="0" fillId="0" fontId="3" numFmtId="0" xfId="0" applyAlignment="1" applyFont="1">
      <alignment horizontal="left"/>
    </xf>
    <xf borderId="0" fillId="0" fontId="4" numFmtId="0" xfId="0" applyFont="1"/>
    <xf borderId="0" fillId="0" fontId="4" numFmtId="0" xfId="0" applyAlignment="1" applyFont="1">
      <alignment horizontal="center"/>
    </xf>
    <xf borderId="0" fillId="0" fontId="4" numFmtId="0" xfId="0" applyAlignment="1" applyFont="1">
      <alignment horizontal="center" vertical="center"/>
    </xf>
    <xf borderId="0" fillId="0" fontId="5" numFmtId="0" xfId="0" applyFont="1"/>
    <xf borderId="0" fillId="0" fontId="6" numFmtId="0" xfId="0" applyFont="1"/>
    <xf borderId="0" fillId="0" fontId="7" numFmtId="0" xfId="0" applyAlignment="1" applyFont="1">
      <alignment readingOrder="0"/>
    </xf>
    <xf borderId="0" fillId="0" fontId="8" numFmtId="0" xfId="0" applyAlignment="1" applyFont="1">
      <alignment horizontal="center"/>
    </xf>
    <xf borderId="0" fillId="0" fontId="9" numFmtId="0" xfId="0" applyAlignment="1" applyFont="1">
      <alignment vertical="top"/>
    </xf>
    <xf borderId="0" fillId="0" fontId="7" numFmtId="0" xfId="0" applyAlignment="1" applyFont="1">
      <alignment readingOrder="0" shrinkToFit="0" vertical="top" wrapText="1"/>
    </xf>
    <xf borderId="0" fillId="0" fontId="8" numFmtId="0" xfId="0" applyAlignment="1" applyFont="1">
      <alignment horizontal="right"/>
    </xf>
    <xf borderId="1" fillId="0" fontId="8" numFmtId="0" xfId="0" applyAlignment="1" applyBorder="1" applyFont="1">
      <alignment horizontal="right"/>
    </xf>
    <xf borderId="2" fillId="0" fontId="8" numFmtId="164" xfId="0" applyAlignment="1" applyBorder="1" applyFont="1" applyNumberFormat="1">
      <alignment horizontal="center" vertical="center"/>
    </xf>
    <xf borderId="3" fillId="0" fontId="10" numFmtId="0" xfId="0" applyBorder="1" applyFont="1"/>
    <xf borderId="0" fillId="0" fontId="6" numFmtId="0" xfId="0" applyAlignment="1" applyFont="1">
      <alignment shrinkToFit="0" wrapText="1"/>
    </xf>
    <xf borderId="1" fillId="0" fontId="10" numFmtId="0" xfId="0" applyBorder="1" applyFont="1"/>
    <xf borderId="4" fillId="0" fontId="8" numFmtId="0" xfId="0" applyAlignment="1" applyBorder="1" applyFont="1">
      <alignment horizontal="center" readingOrder="0" vertical="center"/>
    </xf>
    <xf borderId="5" fillId="2" fontId="8" numFmtId="165" xfId="0" applyAlignment="1" applyBorder="1" applyFill="1" applyFont="1" applyNumberFormat="1">
      <alignment horizontal="left" shrinkToFit="0" vertical="center" wrapText="1"/>
    </xf>
    <xf borderId="6" fillId="0" fontId="10" numFmtId="0" xfId="0" applyBorder="1" applyFont="1"/>
    <xf borderId="7" fillId="0" fontId="10" numFmtId="0" xfId="0" applyBorder="1" applyFont="1"/>
    <xf borderId="8" fillId="0" fontId="8" numFmtId="0" xfId="0" applyBorder="1" applyFont="1"/>
    <xf borderId="9" fillId="2" fontId="11" numFmtId="166" xfId="0" applyAlignment="1" applyBorder="1" applyFont="1" applyNumberFormat="1">
      <alignment horizontal="center" vertical="center"/>
    </xf>
    <xf borderId="10" fillId="2" fontId="11" numFmtId="166" xfId="0" applyAlignment="1" applyBorder="1" applyFont="1" applyNumberFormat="1">
      <alignment horizontal="center" vertical="center"/>
    </xf>
    <xf borderId="11" fillId="2" fontId="11" numFmtId="166" xfId="0" applyAlignment="1" applyBorder="1" applyFont="1" applyNumberFormat="1">
      <alignment horizontal="center" vertical="center"/>
    </xf>
    <xf borderId="12" fillId="3" fontId="12" numFmtId="0" xfId="0" applyAlignment="1" applyBorder="1" applyFill="1" applyFont="1">
      <alignment horizontal="left" readingOrder="0" vertical="center"/>
    </xf>
    <xf borderId="12" fillId="3" fontId="13" numFmtId="0" xfId="0" applyAlignment="1" applyBorder="1" applyFont="1">
      <alignment horizontal="center" shrinkToFit="0" vertical="center" wrapText="1"/>
    </xf>
    <xf borderId="13" fillId="3" fontId="14" numFmtId="0" xfId="0" applyAlignment="1" applyBorder="1" applyFont="1">
      <alignment horizontal="center" shrinkToFit="1" vertical="center" wrapText="0"/>
    </xf>
    <xf borderId="0" fillId="0" fontId="8" numFmtId="0" xfId="0" applyAlignment="1" applyFont="1">
      <alignment shrinkToFit="0" wrapText="1"/>
    </xf>
    <xf borderId="0" fillId="0" fontId="15" numFmtId="0" xfId="0" applyFont="1"/>
    <xf borderId="14" fillId="0" fontId="8" numFmtId="0" xfId="0" applyAlignment="1" applyBorder="1" applyFont="1">
      <alignment vertical="center"/>
    </xf>
    <xf borderId="15" fillId="4" fontId="16" numFmtId="0" xfId="0" applyAlignment="1" applyBorder="1" applyFill="1" applyFont="1">
      <alignment horizontal="left" readingOrder="0" vertical="center"/>
    </xf>
    <xf borderId="15" fillId="4" fontId="8" numFmtId="0" xfId="0" applyAlignment="1" applyBorder="1" applyFont="1">
      <alignment horizontal="center" vertical="center"/>
    </xf>
    <xf borderId="15" fillId="4" fontId="8" numFmtId="9" xfId="0" applyAlignment="1" applyBorder="1" applyFont="1" applyNumberFormat="1">
      <alignment horizontal="center" vertical="center"/>
    </xf>
    <xf borderId="15" fillId="4" fontId="8" numFmtId="167" xfId="0" applyAlignment="1" applyBorder="1" applyFont="1" applyNumberFormat="1">
      <alignment horizontal="center" vertical="center"/>
    </xf>
    <xf borderId="16" fillId="0" fontId="8" numFmtId="0" xfId="0" applyAlignment="1" applyBorder="1" applyFont="1">
      <alignment horizontal="center" vertical="center"/>
    </xf>
    <xf borderId="15" fillId="5" fontId="8" numFmtId="0" xfId="0" applyAlignment="1" applyBorder="1" applyFill="1" applyFont="1">
      <alignment horizontal="left" readingOrder="0" vertical="center"/>
    </xf>
    <xf borderId="15" fillId="5" fontId="8" numFmtId="0" xfId="0" applyAlignment="1" applyBorder="1" applyFont="1">
      <alignment horizontal="center" readingOrder="0" vertical="center"/>
    </xf>
    <xf borderId="15" fillId="5" fontId="8" numFmtId="9" xfId="0" applyAlignment="1" applyBorder="1" applyFont="1" applyNumberFormat="1">
      <alignment horizontal="center" readingOrder="0" vertical="center"/>
    </xf>
    <xf borderId="15" fillId="5" fontId="8" numFmtId="167" xfId="0" applyAlignment="1" applyBorder="1" applyFont="1" applyNumberFormat="1">
      <alignment horizontal="center" readingOrder="0" vertical="center"/>
    </xf>
    <xf borderId="17" fillId="6" fontId="8" numFmtId="0" xfId="0" applyAlignment="1" applyBorder="1" applyFill="1" applyFont="1">
      <alignment vertical="center"/>
    </xf>
    <xf borderId="16" fillId="0" fontId="10" numFmtId="0" xfId="0" applyBorder="1" applyFont="1"/>
    <xf borderId="18" fillId="0" fontId="10" numFmtId="0" xfId="0" applyBorder="1" applyFont="1"/>
    <xf borderId="14" fillId="0" fontId="8" numFmtId="0" xfId="0" applyAlignment="1" applyBorder="1" applyFont="1">
      <alignment horizontal="right" vertical="center"/>
    </xf>
    <xf borderId="15" fillId="7" fontId="16" numFmtId="0" xfId="0" applyAlignment="1" applyBorder="1" applyFill="1" applyFont="1">
      <alignment horizontal="left" readingOrder="0" vertical="center"/>
    </xf>
    <xf borderId="15" fillId="7" fontId="8" numFmtId="0" xfId="0" applyAlignment="1" applyBorder="1" applyFont="1">
      <alignment horizontal="center" vertical="center"/>
    </xf>
    <xf borderId="15" fillId="7" fontId="8" numFmtId="9" xfId="0" applyAlignment="1" applyBorder="1" applyFont="1" applyNumberFormat="1">
      <alignment horizontal="center" vertical="center"/>
    </xf>
    <xf borderId="15" fillId="7" fontId="8" numFmtId="167" xfId="0" applyAlignment="1" applyBorder="1" applyFont="1" applyNumberFormat="1">
      <alignment horizontal="center" vertical="center"/>
    </xf>
    <xf borderId="15" fillId="8" fontId="8" numFmtId="0" xfId="0" applyAlignment="1" applyBorder="1" applyFill="1" applyFont="1">
      <alignment horizontal="left" readingOrder="0" vertical="center"/>
    </xf>
    <xf borderId="15" fillId="8" fontId="8" numFmtId="0" xfId="0" applyAlignment="1" applyBorder="1" applyFont="1">
      <alignment horizontal="center" readingOrder="0" vertical="center"/>
    </xf>
    <xf borderId="15" fillId="8" fontId="8" numFmtId="9" xfId="0" applyAlignment="1" applyBorder="1" applyFont="1" applyNumberFormat="1">
      <alignment horizontal="center" readingOrder="0" vertical="center"/>
    </xf>
    <xf borderId="15" fillId="8" fontId="8" numFmtId="167" xfId="0" applyAlignment="1" applyBorder="1" applyFont="1" applyNumberFormat="1">
      <alignment horizontal="center" readingOrder="0" vertical="center"/>
    </xf>
    <xf borderId="17" fillId="9" fontId="8" numFmtId="0" xfId="0" applyAlignment="1" applyBorder="1" applyFill="1" applyFont="1">
      <alignment vertical="center"/>
    </xf>
    <xf borderId="15" fillId="8" fontId="8" numFmtId="168" xfId="0" applyAlignment="1" applyBorder="1" applyFont="1" applyNumberFormat="1">
      <alignment horizontal="center" readingOrder="0" vertical="center"/>
    </xf>
    <xf borderId="19" fillId="0" fontId="8" numFmtId="0" xfId="0" applyAlignment="1" applyBorder="1" applyFont="1">
      <alignment vertical="center"/>
    </xf>
    <xf borderId="15" fillId="10" fontId="16" numFmtId="0" xfId="0" applyAlignment="1" applyBorder="1" applyFill="1" applyFont="1">
      <alignment horizontal="left" readingOrder="0" vertical="center"/>
    </xf>
    <xf borderId="15" fillId="10" fontId="8" numFmtId="0" xfId="0" applyAlignment="1" applyBorder="1" applyFont="1">
      <alignment horizontal="center" vertical="center"/>
    </xf>
    <xf borderId="15" fillId="10" fontId="8" numFmtId="9" xfId="0" applyAlignment="1" applyBorder="1" applyFont="1" applyNumberFormat="1">
      <alignment horizontal="center" vertical="center"/>
    </xf>
    <xf borderId="15" fillId="10" fontId="8" numFmtId="167" xfId="0" applyAlignment="1" applyBorder="1" applyFont="1" applyNumberFormat="1">
      <alignment horizontal="center" vertical="center"/>
    </xf>
    <xf borderId="15" fillId="11" fontId="8" numFmtId="0" xfId="0" applyAlignment="1" applyBorder="1" applyFill="1" applyFont="1">
      <alignment horizontal="left" readingOrder="0" vertical="center"/>
    </xf>
    <xf borderId="15" fillId="11" fontId="8" numFmtId="0" xfId="0" applyAlignment="1" applyBorder="1" applyFont="1">
      <alignment horizontal="center" readingOrder="0" vertical="center"/>
    </xf>
    <xf borderId="15" fillId="11" fontId="8" numFmtId="9" xfId="0" applyAlignment="1" applyBorder="1" applyFont="1" applyNumberFormat="1">
      <alignment horizontal="center" readingOrder="0" vertical="center"/>
    </xf>
    <xf borderId="15" fillId="11" fontId="8" numFmtId="167" xfId="0" applyAlignment="1" applyBorder="1" applyFont="1" applyNumberFormat="1">
      <alignment horizontal="center" vertical="center"/>
    </xf>
    <xf borderId="15" fillId="11" fontId="8" numFmtId="167" xfId="0" applyAlignment="1" applyBorder="1" applyFont="1" applyNumberFormat="1">
      <alignment horizontal="center" readingOrder="0" vertical="center"/>
    </xf>
    <xf borderId="17" fillId="12" fontId="8" numFmtId="0" xfId="0" applyAlignment="1" applyBorder="1" applyFill="1" applyFont="1">
      <alignment vertical="center"/>
    </xf>
    <xf borderId="15" fillId="13" fontId="16" numFmtId="0" xfId="0" applyAlignment="1" applyBorder="1" applyFill="1" applyFont="1">
      <alignment horizontal="left" readingOrder="0" vertical="center"/>
    </xf>
    <xf borderId="15" fillId="13" fontId="8" numFmtId="0" xfId="0" applyAlignment="1" applyBorder="1" applyFont="1">
      <alignment horizontal="center" vertical="center"/>
    </xf>
    <xf borderId="15" fillId="13" fontId="8" numFmtId="9" xfId="0" applyAlignment="1" applyBorder="1" applyFont="1" applyNumberFormat="1">
      <alignment horizontal="center" vertical="center"/>
    </xf>
    <xf borderId="15" fillId="13" fontId="8" numFmtId="167" xfId="0" applyAlignment="1" applyBorder="1" applyFont="1" applyNumberFormat="1">
      <alignment horizontal="center" vertical="center"/>
    </xf>
    <xf borderId="15" fillId="14" fontId="8" numFmtId="0" xfId="0" applyAlignment="1" applyBorder="1" applyFill="1" applyFont="1">
      <alignment horizontal="left" readingOrder="0" vertical="center"/>
    </xf>
    <xf borderId="15" fillId="14" fontId="8" numFmtId="0" xfId="0" applyAlignment="1" applyBorder="1" applyFont="1">
      <alignment horizontal="center" vertical="center"/>
    </xf>
    <xf borderId="15" fillId="14" fontId="8" numFmtId="9" xfId="0" applyAlignment="1" applyBorder="1" applyFont="1" applyNumberFormat="1">
      <alignment horizontal="center" vertical="center"/>
    </xf>
    <xf borderId="15" fillId="14" fontId="8" numFmtId="167" xfId="0" applyAlignment="1" applyBorder="1" applyFont="1" applyNumberFormat="1">
      <alignment horizontal="center" vertical="center"/>
    </xf>
    <xf borderId="15" fillId="14" fontId="8" numFmtId="0" xfId="0" applyAlignment="1" applyBorder="1" applyFont="1">
      <alignment horizontal="left" vertical="center"/>
    </xf>
    <xf borderId="16" fillId="0" fontId="8" numFmtId="0" xfId="0" applyAlignment="1" applyBorder="1" applyFont="1">
      <alignment horizontal="left" vertical="center"/>
    </xf>
    <xf borderId="16" fillId="0" fontId="8" numFmtId="9" xfId="0" applyAlignment="1" applyBorder="1" applyFont="1" applyNumberFormat="1">
      <alignment horizontal="center" vertical="center"/>
    </xf>
    <xf borderId="16" fillId="0" fontId="8" numFmtId="167" xfId="0" applyAlignment="1" applyBorder="1" applyFont="1" applyNumberFormat="1">
      <alignment horizontal="center" vertical="center"/>
    </xf>
    <xf borderId="15" fillId="15" fontId="17" numFmtId="0" xfId="0" applyAlignment="1" applyBorder="1" applyFill="1" applyFont="1">
      <alignment horizontal="left" vertical="center"/>
    </xf>
    <xf borderId="15" fillId="15" fontId="17" numFmtId="0" xfId="0" applyAlignment="1" applyBorder="1" applyFont="1">
      <alignment horizontal="center" vertical="center"/>
    </xf>
    <xf borderId="15" fillId="15" fontId="8" numFmtId="9" xfId="0" applyAlignment="1" applyBorder="1" applyFont="1" applyNumberFormat="1">
      <alignment horizontal="center" vertical="center"/>
    </xf>
    <xf borderId="15" fillId="15" fontId="18" numFmtId="167" xfId="0" applyAlignment="1" applyBorder="1" applyFont="1" applyNumberFormat="1">
      <alignment horizontal="left" vertical="center"/>
    </xf>
    <xf borderId="15" fillId="15" fontId="8" numFmtId="167" xfId="0" applyAlignment="1" applyBorder="1" applyFont="1" applyNumberFormat="1">
      <alignment horizontal="center" vertical="center"/>
    </xf>
    <xf borderId="15" fillId="15" fontId="8" numFmtId="0" xfId="0" applyAlignment="1" applyBorder="1" applyFont="1">
      <alignment horizontal="center" vertical="center"/>
    </xf>
    <xf borderId="14" fillId="15" fontId="8" numFmtId="0" xfId="0" applyAlignment="1" applyBorder="1" applyFont="1">
      <alignment vertical="center"/>
    </xf>
    <xf borderId="0" fillId="0" fontId="8" numFmtId="0" xfId="0" applyAlignment="1" applyFont="1">
      <alignment horizontal="right" vertical="center"/>
    </xf>
    <xf borderId="0" fillId="0" fontId="19" numFmtId="0" xfId="0" applyFont="1"/>
    <xf borderId="0" fillId="0" fontId="6" numFmtId="0" xfId="0" applyAlignment="1" applyFont="1">
      <alignment horizontal="center"/>
    </xf>
    <xf borderId="0" fillId="0" fontId="20" numFmtId="0" xfId="0" applyFont="1"/>
  </cellXfs>
  <cellStyles count="1">
    <cellStyle xfId="0" name="Normal" builtinId="0"/>
  </cellStyles>
  <dxfs count="1">
    <dxf>
      <font/>
      <fill>
        <patternFill patternType="none"/>
      </fill>
      <border>
        <left style="thin">
          <color rgb="FFC00000"/>
        </left>
        <right style="thin">
          <color rgb="FFC00000"/>
        </right>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url"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6.0" ySplit="6.0" topLeftCell="G7" activePane="bottomRight" state="frozen"/>
      <selection activeCell="G1" sqref="G1" pane="topRight"/>
      <selection activeCell="A7" sqref="A7" pane="bottomLeft"/>
      <selection activeCell="G7" sqref="G7" pane="bottomRight"/>
    </sheetView>
  </sheetViews>
  <sheetFormatPr customHeight="1" defaultColWidth="14.43" defaultRowHeight="15.0"/>
  <cols>
    <col customWidth="1" min="1" max="1" width="2.71"/>
    <col customWidth="1" min="2" max="2" width="49.29"/>
    <col customWidth="1" min="3" max="3" width="23.57"/>
    <col customWidth="1" min="4" max="4" width="10.71"/>
    <col customWidth="1" min="5" max="6" width="10.43"/>
    <col customWidth="1" min="7" max="7" width="3.14"/>
    <col customWidth="1" hidden="1" min="8" max="8" width="6.14"/>
    <col customWidth="1" min="9" max="113" width="3.14"/>
  </cols>
  <sheetData>
    <row r="1" ht="30.0" customHeight="1">
      <c r="A1" s="1" t="s">
        <v>0</v>
      </c>
      <c r="B1" s="2" t="s">
        <v>1</v>
      </c>
      <c r="C1" s="3"/>
      <c r="D1" s="4"/>
      <c r="E1" s="5"/>
      <c r="F1" s="6"/>
      <c r="H1" s="4"/>
      <c r="I1" s="7" t="s">
        <v>2</v>
      </c>
    </row>
    <row r="2" ht="30.0" customHeight="1">
      <c r="A2" s="8" t="s">
        <v>3</v>
      </c>
      <c r="B2" s="9" t="s">
        <v>4</v>
      </c>
      <c r="E2" s="10"/>
      <c r="I2" s="11" t="s">
        <v>5</v>
      </c>
    </row>
    <row r="3" ht="30.0" customHeight="1">
      <c r="A3" s="8" t="s">
        <v>6</v>
      </c>
      <c r="B3" s="12" t="s">
        <v>7</v>
      </c>
      <c r="C3" s="13" t="s">
        <v>8</v>
      </c>
      <c r="D3" s="14"/>
      <c r="E3" s="15">
        <f>DATE(2026,3,16)</f>
        <v>46097</v>
      </c>
      <c r="F3" s="16"/>
    </row>
    <row r="4" ht="30.0" customHeight="1">
      <c r="A4" s="17" t="s">
        <v>9</v>
      </c>
      <c r="C4" s="13" t="s">
        <v>10</v>
      </c>
      <c r="D4" s="18"/>
      <c r="E4" s="19">
        <v>1.0</v>
      </c>
      <c r="I4" s="20">
        <f>I5</f>
        <v>46097</v>
      </c>
      <c r="J4" s="21"/>
      <c r="K4" s="21"/>
      <c r="L4" s="21"/>
      <c r="M4" s="21"/>
      <c r="N4" s="21"/>
      <c r="O4" s="22"/>
      <c r="P4" s="20">
        <f>P5</f>
        <v>46104</v>
      </c>
      <c r="Q4" s="21"/>
      <c r="R4" s="21"/>
      <c r="S4" s="21"/>
      <c r="T4" s="21"/>
      <c r="U4" s="21"/>
      <c r="V4" s="22"/>
      <c r="W4" s="20">
        <f>W5</f>
        <v>46111</v>
      </c>
      <c r="X4" s="21"/>
      <c r="Y4" s="21"/>
      <c r="Z4" s="21"/>
      <c r="AA4" s="21"/>
      <c r="AB4" s="21"/>
      <c r="AC4" s="22"/>
      <c r="AD4" s="20">
        <f>AD5</f>
        <v>46118</v>
      </c>
      <c r="AE4" s="21"/>
      <c r="AF4" s="21"/>
      <c r="AG4" s="21"/>
      <c r="AH4" s="21"/>
      <c r="AI4" s="21"/>
      <c r="AJ4" s="22"/>
      <c r="AK4" s="20">
        <f>AK5</f>
        <v>46125</v>
      </c>
      <c r="AL4" s="21"/>
      <c r="AM4" s="21"/>
      <c r="AN4" s="21"/>
      <c r="AO4" s="21"/>
      <c r="AP4" s="21"/>
      <c r="AQ4" s="22"/>
      <c r="AR4" s="20">
        <f>AR5</f>
        <v>46132</v>
      </c>
      <c r="AS4" s="21"/>
      <c r="AT4" s="21"/>
      <c r="AU4" s="21"/>
      <c r="AV4" s="21"/>
      <c r="AW4" s="21"/>
      <c r="AX4" s="22"/>
      <c r="AY4" s="20">
        <f>AY5</f>
        <v>46139</v>
      </c>
      <c r="AZ4" s="21"/>
      <c r="BA4" s="21"/>
      <c r="BB4" s="21"/>
      <c r="BC4" s="21"/>
      <c r="BD4" s="21"/>
      <c r="BE4" s="22"/>
      <c r="BF4" s="20">
        <f>BF5</f>
        <v>46146</v>
      </c>
      <c r="BG4" s="21"/>
      <c r="BH4" s="21"/>
      <c r="BI4" s="21"/>
      <c r="BJ4" s="21"/>
      <c r="BK4" s="21"/>
      <c r="BL4" s="22"/>
      <c r="BM4" s="20">
        <f>BM5</f>
        <v>46153</v>
      </c>
      <c r="BN4" s="21"/>
      <c r="BO4" s="21"/>
      <c r="BP4" s="21"/>
      <c r="BQ4" s="21"/>
      <c r="BR4" s="21"/>
      <c r="BS4" s="22"/>
      <c r="BT4" s="20">
        <f>BT5</f>
        <v>46160</v>
      </c>
      <c r="BU4" s="21"/>
      <c r="BV4" s="21"/>
      <c r="BW4" s="21"/>
      <c r="BX4" s="21"/>
      <c r="BY4" s="21"/>
      <c r="BZ4" s="22"/>
      <c r="CA4" s="20">
        <f>CA5</f>
        <v>46167</v>
      </c>
      <c r="CB4" s="21"/>
      <c r="CC4" s="21"/>
      <c r="CD4" s="21"/>
      <c r="CE4" s="21"/>
      <c r="CF4" s="21"/>
      <c r="CG4" s="22"/>
      <c r="CH4" s="20">
        <f>CH5</f>
        <v>46174</v>
      </c>
      <c r="CI4" s="21"/>
      <c r="CJ4" s="21"/>
      <c r="CK4" s="21"/>
      <c r="CL4" s="21"/>
      <c r="CM4" s="21"/>
      <c r="CN4" s="22"/>
      <c r="CO4" s="20">
        <f>CO5</f>
        <v>46181</v>
      </c>
      <c r="CP4" s="21"/>
      <c r="CQ4" s="21"/>
      <c r="CR4" s="21"/>
      <c r="CS4" s="21"/>
      <c r="CT4" s="21"/>
      <c r="CU4" s="22"/>
      <c r="CV4" s="20">
        <f>CV5</f>
        <v>46188</v>
      </c>
      <c r="CW4" s="21"/>
      <c r="CX4" s="21"/>
      <c r="CY4" s="21"/>
      <c r="CZ4" s="21"/>
      <c r="DA4" s="21"/>
      <c r="DB4" s="22"/>
      <c r="DC4" s="20">
        <f>DC5</f>
        <v>46195</v>
      </c>
      <c r="DD4" s="21"/>
      <c r="DE4" s="21"/>
      <c r="DF4" s="21"/>
      <c r="DG4" s="21"/>
      <c r="DH4" s="21"/>
      <c r="DI4" s="22"/>
    </row>
    <row r="5" ht="15.0" customHeight="1">
      <c r="A5" s="17" t="s">
        <v>11</v>
      </c>
      <c r="B5" s="23"/>
      <c r="C5" s="23"/>
      <c r="D5" s="23"/>
      <c r="E5" s="23"/>
      <c r="F5" s="23"/>
      <c r="G5" s="23"/>
      <c r="I5" s="24">
        <f>Inicio_del_proyecto-WEEKDAY(Inicio_del_proyecto,1)+2+7*(Semana_para_mostrar-1)</f>
        <v>46097</v>
      </c>
      <c r="J5" s="25">
        <f t="shared" ref="J5:DI5" si="1">I5+1</f>
        <v>46098</v>
      </c>
      <c r="K5" s="25">
        <f t="shared" si="1"/>
        <v>46099</v>
      </c>
      <c r="L5" s="25">
        <f t="shared" si="1"/>
        <v>46100</v>
      </c>
      <c r="M5" s="25">
        <f t="shared" si="1"/>
        <v>46101</v>
      </c>
      <c r="N5" s="25">
        <f t="shared" si="1"/>
        <v>46102</v>
      </c>
      <c r="O5" s="26">
        <f t="shared" si="1"/>
        <v>46103</v>
      </c>
      <c r="P5" s="24">
        <f t="shared" si="1"/>
        <v>46104</v>
      </c>
      <c r="Q5" s="25">
        <f t="shared" si="1"/>
        <v>46105</v>
      </c>
      <c r="R5" s="25">
        <f t="shared" si="1"/>
        <v>46106</v>
      </c>
      <c r="S5" s="25">
        <f t="shared" si="1"/>
        <v>46107</v>
      </c>
      <c r="T5" s="25">
        <f t="shared" si="1"/>
        <v>46108</v>
      </c>
      <c r="U5" s="25">
        <f t="shared" si="1"/>
        <v>46109</v>
      </c>
      <c r="V5" s="26">
        <f t="shared" si="1"/>
        <v>46110</v>
      </c>
      <c r="W5" s="24">
        <f t="shared" si="1"/>
        <v>46111</v>
      </c>
      <c r="X5" s="25">
        <f t="shared" si="1"/>
        <v>46112</v>
      </c>
      <c r="Y5" s="25">
        <f t="shared" si="1"/>
        <v>46113</v>
      </c>
      <c r="Z5" s="25">
        <f t="shared" si="1"/>
        <v>46114</v>
      </c>
      <c r="AA5" s="25">
        <f t="shared" si="1"/>
        <v>46115</v>
      </c>
      <c r="AB5" s="25">
        <f t="shared" si="1"/>
        <v>46116</v>
      </c>
      <c r="AC5" s="26">
        <f t="shared" si="1"/>
        <v>46117</v>
      </c>
      <c r="AD5" s="24">
        <f t="shared" si="1"/>
        <v>46118</v>
      </c>
      <c r="AE5" s="25">
        <f t="shared" si="1"/>
        <v>46119</v>
      </c>
      <c r="AF5" s="25">
        <f t="shared" si="1"/>
        <v>46120</v>
      </c>
      <c r="AG5" s="25">
        <f t="shared" si="1"/>
        <v>46121</v>
      </c>
      <c r="AH5" s="25">
        <f t="shared" si="1"/>
        <v>46122</v>
      </c>
      <c r="AI5" s="25">
        <f t="shared" si="1"/>
        <v>46123</v>
      </c>
      <c r="AJ5" s="26">
        <f t="shared" si="1"/>
        <v>46124</v>
      </c>
      <c r="AK5" s="24">
        <f t="shared" si="1"/>
        <v>46125</v>
      </c>
      <c r="AL5" s="25">
        <f t="shared" si="1"/>
        <v>46126</v>
      </c>
      <c r="AM5" s="25">
        <f t="shared" si="1"/>
        <v>46127</v>
      </c>
      <c r="AN5" s="25">
        <f t="shared" si="1"/>
        <v>46128</v>
      </c>
      <c r="AO5" s="25">
        <f t="shared" si="1"/>
        <v>46129</v>
      </c>
      <c r="AP5" s="25">
        <f t="shared" si="1"/>
        <v>46130</v>
      </c>
      <c r="AQ5" s="26">
        <f t="shared" si="1"/>
        <v>46131</v>
      </c>
      <c r="AR5" s="24">
        <f t="shared" si="1"/>
        <v>46132</v>
      </c>
      <c r="AS5" s="25">
        <f t="shared" si="1"/>
        <v>46133</v>
      </c>
      <c r="AT5" s="25">
        <f t="shared" si="1"/>
        <v>46134</v>
      </c>
      <c r="AU5" s="25">
        <f t="shared" si="1"/>
        <v>46135</v>
      </c>
      <c r="AV5" s="25">
        <f t="shared" si="1"/>
        <v>46136</v>
      </c>
      <c r="AW5" s="25">
        <f t="shared" si="1"/>
        <v>46137</v>
      </c>
      <c r="AX5" s="26">
        <f t="shared" si="1"/>
        <v>46138</v>
      </c>
      <c r="AY5" s="24">
        <f t="shared" si="1"/>
        <v>46139</v>
      </c>
      <c r="AZ5" s="25">
        <f t="shared" si="1"/>
        <v>46140</v>
      </c>
      <c r="BA5" s="25">
        <f t="shared" si="1"/>
        <v>46141</v>
      </c>
      <c r="BB5" s="25">
        <f t="shared" si="1"/>
        <v>46142</v>
      </c>
      <c r="BC5" s="25">
        <f t="shared" si="1"/>
        <v>46143</v>
      </c>
      <c r="BD5" s="25">
        <f t="shared" si="1"/>
        <v>46144</v>
      </c>
      <c r="BE5" s="26">
        <f t="shared" si="1"/>
        <v>46145</v>
      </c>
      <c r="BF5" s="24">
        <f t="shared" si="1"/>
        <v>46146</v>
      </c>
      <c r="BG5" s="25">
        <f t="shared" si="1"/>
        <v>46147</v>
      </c>
      <c r="BH5" s="25">
        <f t="shared" si="1"/>
        <v>46148</v>
      </c>
      <c r="BI5" s="25">
        <f t="shared" si="1"/>
        <v>46149</v>
      </c>
      <c r="BJ5" s="25">
        <f t="shared" si="1"/>
        <v>46150</v>
      </c>
      <c r="BK5" s="25">
        <f t="shared" si="1"/>
        <v>46151</v>
      </c>
      <c r="BL5" s="26">
        <f t="shared" si="1"/>
        <v>46152</v>
      </c>
      <c r="BM5" s="24">
        <f t="shared" si="1"/>
        <v>46153</v>
      </c>
      <c r="BN5" s="25">
        <f t="shared" si="1"/>
        <v>46154</v>
      </c>
      <c r="BO5" s="25">
        <f t="shared" si="1"/>
        <v>46155</v>
      </c>
      <c r="BP5" s="25">
        <f t="shared" si="1"/>
        <v>46156</v>
      </c>
      <c r="BQ5" s="25">
        <f t="shared" si="1"/>
        <v>46157</v>
      </c>
      <c r="BR5" s="25">
        <f t="shared" si="1"/>
        <v>46158</v>
      </c>
      <c r="BS5" s="26">
        <f t="shared" si="1"/>
        <v>46159</v>
      </c>
      <c r="BT5" s="24">
        <f t="shared" si="1"/>
        <v>46160</v>
      </c>
      <c r="BU5" s="25">
        <f t="shared" si="1"/>
        <v>46161</v>
      </c>
      <c r="BV5" s="25">
        <f t="shared" si="1"/>
        <v>46162</v>
      </c>
      <c r="BW5" s="25">
        <f t="shared" si="1"/>
        <v>46163</v>
      </c>
      <c r="BX5" s="25">
        <f t="shared" si="1"/>
        <v>46164</v>
      </c>
      <c r="BY5" s="25">
        <f t="shared" si="1"/>
        <v>46165</v>
      </c>
      <c r="BZ5" s="26">
        <f t="shared" si="1"/>
        <v>46166</v>
      </c>
      <c r="CA5" s="24">
        <f t="shared" si="1"/>
        <v>46167</v>
      </c>
      <c r="CB5" s="25">
        <f t="shared" si="1"/>
        <v>46168</v>
      </c>
      <c r="CC5" s="25">
        <f t="shared" si="1"/>
        <v>46169</v>
      </c>
      <c r="CD5" s="25">
        <f t="shared" si="1"/>
        <v>46170</v>
      </c>
      <c r="CE5" s="25">
        <f t="shared" si="1"/>
        <v>46171</v>
      </c>
      <c r="CF5" s="25">
        <f t="shared" si="1"/>
        <v>46172</v>
      </c>
      <c r="CG5" s="26">
        <f t="shared" si="1"/>
        <v>46173</v>
      </c>
      <c r="CH5" s="24">
        <f t="shared" si="1"/>
        <v>46174</v>
      </c>
      <c r="CI5" s="25">
        <f t="shared" si="1"/>
        <v>46175</v>
      </c>
      <c r="CJ5" s="25">
        <f t="shared" si="1"/>
        <v>46176</v>
      </c>
      <c r="CK5" s="25">
        <f t="shared" si="1"/>
        <v>46177</v>
      </c>
      <c r="CL5" s="25">
        <f t="shared" si="1"/>
        <v>46178</v>
      </c>
      <c r="CM5" s="25">
        <f t="shared" si="1"/>
        <v>46179</v>
      </c>
      <c r="CN5" s="26">
        <f t="shared" si="1"/>
        <v>46180</v>
      </c>
      <c r="CO5" s="24">
        <f t="shared" si="1"/>
        <v>46181</v>
      </c>
      <c r="CP5" s="25">
        <f t="shared" si="1"/>
        <v>46182</v>
      </c>
      <c r="CQ5" s="25">
        <f t="shared" si="1"/>
        <v>46183</v>
      </c>
      <c r="CR5" s="25">
        <f t="shared" si="1"/>
        <v>46184</v>
      </c>
      <c r="CS5" s="25">
        <f t="shared" si="1"/>
        <v>46185</v>
      </c>
      <c r="CT5" s="25">
        <f t="shared" si="1"/>
        <v>46186</v>
      </c>
      <c r="CU5" s="26">
        <f t="shared" si="1"/>
        <v>46187</v>
      </c>
      <c r="CV5" s="24">
        <f t="shared" si="1"/>
        <v>46188</v>
      </c>
      <c r="CW5" s="25">
        <f t="shared" si="1"/>
        <v>46189</v>
      </c>
      <c r="CX5" s="25">
        <f t="shared" si="1"/>
        <v>46190</v>
      </c>
      <c r="CY5" s="25">
        <f t="shared" si="1"/>
        <v>46191</v>
      </c>
      <c r="CZ5" s="25">
        <f t="shared" si="1"/>
        <v>46192</v>
      </c>
      <c r="DA5" s="25">
        <f t="shared" si="1"/>
        <v>46193</v>
      </c>
      <c r="DB5" s="26">
        <f t="shared" si="1"/>
        <v>46194</v>
      </c>
      <c r="DC5" s="24">
        <f t="shared" si="1"/>
        <v>46195</v>
      </c>
      <c r="DD5" s="25">
        <f t="shared" si="1"/>
        <v>46196</v>
      </c>
      <c r="DE5" s="25">
        <f t="shared" si="1"/>
        <v>46197</v>
      </c>
      <c r="DF5" s="25">
        <f t="shared" si="1"/>
        <v>46198</v>
      </c>
      <c r="DG5" s="25">
        <f t="shared" si="1"/>
        <v>46199</v>
      </c>
      <c r="DH5" s="25">
        <f t="shared" si="1"/>
        <v>46200</v>
      </c>
      <c r="DI5" s="26">
        <f t="shared" si="1"/>
        <v>46201</v>
      </c>
    </row>
    <row r="6" ht="30.0" customHeight="1">
      <c r="A6" s="17" t="s">
        <v>12</v>
      </c>
      <c r="B6" s="27" t="s">
        <v>13</v>
      </c>
      <c r="C6" s="28" t="s">
        <v>14</v>
      </c>
      <c r="D6" s="28" t="s">
        <v>15</v>
      </c>
      <c r="E6" s="28" t="s">
        <v>16</v>
      </c>
      <c r="F6" s="28" t="s">
        <v>17</v>
      </c>
      <c r="G6" s="28"/>
      <c r="H6" s="28" t="s">
        <v>18</v>
      </c>
      <c r="I6" s="29" t="str">
        <f t="shared" ref="I6:DI6" si="2">LEFT(TEXT(I5,"ddd"),1)</f>
        <v>l</v>
      </c>
      <c r="J6" s="29" t="str">
        <f t="shared" si="2"/>
        <v>m</v>
      </c>
      <c r="K6" s="29" t="str">
        <f t="shared" si="2"/>
        <v>m</v>
      </c>
      <c r="L6" s="29" t="str">
        <f t="shared" si="2"/>
        <v>j</v>
      </c>
      <c r="M6" s="29" t="str">
        <f t="shared" si="2"/>
        <v>v</v>
      </c>
      <c r="N6" s="29" t="str">
        <f t="shared" si="2"/>
        <v>s</v>
      </c>
      <c r="O6" s="29" t="str">
        <f t="shared" si="2"/>
        <v>d</v>
      </c>
      <c r="P6" s="29" t="str">
        <f t="shared" si="2"/>
        <v>l</v>
      </c>
      <c r="Q6" s="29" t="str">
        <f t="shared" si="2"/>
        <v>m</v>
      </c>
      <c r="R6" s="29" t="str">
        <f t="shared" si="2"/>
        <v>m</v>
      </c>
      <c r="S6" s="29" t="str">
        <f t="shared" si="2"/>
        <v>j</v>
      </c>
      <c r="T6" s="29" t="str">
        <f t="shared" si="2"/>
        <v>v</v>
      </c>
      <c r="U6" s="29" t="str">
        <f t="shared" si="2"/>
        <v>s</v>
      </c>
      <c r="V6" s="29" t="str">
        <f t="shared" si="2"/>
        <v>d</v>
      </c>
      <c r="W6" s="29" t="str">
        <f t="shared" si="2"/>
        <v>l</v>
      </c>
      <c r="X6" s="29" t="str">
        <f t="shared" si="2"/>
        <v>m</v>
      </c>
      <c r="Y6" s="29" t="str">
        <f t="shared" si="2"/>
        <v>m</v>
      </c>
      <c r="Z6" s="29" t="str">
        <f t="shared" si="2"/>
        <v>j</v>
      </c>
      <c r="AA6" s="29" t="str">
        <f t="shared" si="2"/>
        <v>v</v>
      </c>
      <c r="AB6" s="29" t="str">
        <f t="shared" si="2"/>
        <v>s</v>
      </c>
      <c r="AC6" s="29" t="str">
        <f t="shared" si="2"/>
        <v>d</v>
      </c>
      <c r="AD6" s="29" t="str">
        <f t="shared" si="2"/>
        <v>l</v>
      </c>
      <c r="AE6" s="29" t="str">
        <f t="shared" si="2"/>
        <v>m</v>
      </c>
      <c r="AF6" s="29" t="str">
        <f t="shared" si="2"/>
        <v>m</v>
      </c>
      <c r="AG6" s="29" t="str">
        <f t="shared" si="2"/>
        <v>j</v>
      </c>
      <c r="AH6" s="29" t="str">
        <f t="shared" si="2"/>
        <v>v</v>
      </c>
      <c r="AI6" s="29" t="str">
        <f t="shared" si="2"/>
        <v>s</v>
      </c>
      <c r="AJ6" s="29" t="str">
        <f t="shared" si="2"/>
        <v>d</v>
      </c>
      <c r="AK6" s="29" t="str">
        <f t="shared" si="2"/>
        <v>l</v>
      </c>
      <c r="AL6" s="29" t="str">
        <f t="shared" si="2"/>
        <v>m</v>
      </c>
      <c r="AM6" s="29" t="str">
        <f t="shared" si="2"/>
        <v>m</v>
      </c>
      <c r="AN6" s="29" t="str">
        <f t="shared" si="2"/>
        <v>j</v>
      </c>
      <c r="AO6" s="29" t="str">
        <f t="shared" si="2"/>
        <v>v</v>
      </c>
      <c r="AP6" s="29" t="str">
        <f t="shared" si="2"/>
        <v>s</v>
      </c>
      <c r="AQ6" s="29" t="str">
        <f t="shared" si="2"/>
        <v>d</v>
      </c>
      <c r="AR6" s="29" t="str">
        <f t="shared" si="2"/>
        <v>l</v>
      </c>
      <c r="AS6" s="29" t="str">
        <f t="shared" si="2"/>
        <v>m</v>
      </c>
      <c r="AT6" s="29" t="str">
        <f t="shared" si="2"/>
        <v>m</v>
      </c>
      <c r="AU6" s="29" t="str">
        <f t="shared" si="2"/>
        <v>j</v>
      </c>
      <c r="AV6" s="29" t="str">
        <f t="shared" si="2"/>
        <v>v</v>
      </c>
      <c r="AW6" s="29" t="str">
        <f t="shared" si="2"/>
        <v>s</v>
      </c>
      <c r="AX6" s="29" t="str">
        <f t="shared" si="2"/>
        <v>d</v>
      </c>
      <c r="AY6" s="29" t="str">
        <f t="shared" si="2"/>
        <v>l</v>
      </c>
      <c r="AZ6" s="29" t="str">
        <f t="shared" si="2"/>
        <v>m</v>
      </c>
      <c r="BA6" s="29" t="str">
        <f t="shared" si="2"/>
        <v>m</v>
      </c>
      <c r="BB6" s="29" t="str">
        <f t="shared" si="2"/>
        <v>j</v>
      </c>
      <c r="BC6" s="29" t="str">
        <f t="shared" si="2"/>
        <v>v</v>
      </c>
      <c r="BD6" s="29" t="str">
        <f t="shared" si="2"/>
        <v>s</v>
      </c>
      <c r="BE6" s="29" t="str">
        <f t="shared" si="2"/>
        <v>d</v>
      </c>
      <c r="BF6" s="29" t="str">
        <f t="shared" si="2"/>
        <v>l</v>
      </c>
      <c r="BG6" s="29" t="str">
        <f t="shared" si="2"/>
        <v>m</v>
      </c>
      <c r="BH6" s="29" t="str">
        <f t="shared" si="2"/>
        <v>m</v>
      </c>
      <c r="BI6" s="29" t="str">
        <f t="shared" si="2"/>
        <v>j</v>
      </c>
      <c r="BJ6" s="29" t="str">
        <f t="shared" si="2"/>
        <v>v</v>
      </c>
      <c r="BK6" s="29" t="str">
        <f t="shared" si="2"/>
        <v>s</v>
      </c>
      <c r="BL6" s="29" t="str">
        <f t="shared" si="2"/>
        <v>d</v>
      </c>
      <c r="BM6" s="29" t="str">
        <f t="shared" si="2"/>
        <v>l</v>
      </c>
      <c r="BN6" s="29" t="str">
        <f t="shared" si="2"/>
        <v>m</v>
      </c>
      <c r="BO6" s="29" t="str">
        <f t="shared" si="2"/>
        <v>m</v>
      </c>
      <c r="BP6" s="29" t="str">
        <f t="shared" si="2"/>
        <v>j</v>
      </c>
      <c r="BQ6" s="29" t="str">
        <f t="shared" si="2"/>
        <v>v</v>
      </c>
      <c r="BR6" s="29" t="str">
        <f t="shared" si="2"/>
        <v>s</v>
      </c>
      <c r="BS6" s="29" t="str">
        <f t="shared" si="2"/>
        <v>d</v>
      </c>
      <c r="BT6" s="29" t="str">
        <f t="shared" si="2"/>
        <v>l</v>
      </c>
      <c r="BU6" s="29" t="str">
        <f t="shared" si="2"/>
        <v>m</v>
      </c>
      <c r="BV6" s="29" t="str">
        <f t="shared" si="2"/>
        <v>m</v>
      </c>
      <c r="BW6" s="29" t="str">
        <f t="shared" si="2"/>
        <v>j</v>
      </c>
      <c r="BX6" s="29" t="str">
        <f t="shared" si="2"/>
        <v>v</v>
      </c>
      <c r="BY6" s="29" t="str">
        <f t="shared" si="2"/>
        <v>s</v>
      </c>
      <c r="BZ6" s="29" t="str">
        <f t="shared" si="2"/>
        <v>d</v>
      </c>
      <c r="CA6" s="29" t="str">
        <f t="shared" si="2"/>
        <v>l</v>
      </c>
      <c r="CB6" s="29" t="str">
        <f t="shared" si="2"/>
        <v>m</v>
      </c>
      <c r="CC6" s="29" t="str">
        <f t="shared" si="2"/>
        <v>m</v>
      </c>
      <c r="CD6" s="29" t="str">
        <f t="shared" si="2"/>
        <v>j</v>
      </c>
      <c r="CE6" s="29" t="str">
        <f t="shared" si="2"/>
        <v>v</v>
      </c>
      <c r="CF6" s="29" t="str">
        <f t="shared" si="2"/>
        <v>s</v>
      </c>
      <c r="CG6" s="29" t="str">
        <f t="shared" si="2"/>
        <v>d</v>
      </c>
      <c r="CH6" s="29" t="str">
        <f t="shared" si="2"/>
        <v>l</v>
      </c>
      <c r="CI6" s="29" t="str">
        <f t="shared" si="2"/>
        <v>m</v>
      </c>
      <c r="CJ6" s="29" t="str">
        <f t="shared" si="2"/>
        <v>m</v>
      </c>
      <c r="CK6" s="29" t="str">
        <f t="shared" si="2"/>
        <v>j</v>
      </c>
      <c r="CL6" s="29" t="str">
        <f t="shared" si="2"/>
        <v>v</v>
      </c>
      <c r="CM6" s="29" t="str">
        <f t="shared" si="2"/>
        <v>s</v>
      </c>
      <c r="CN6" s="29" t="str">
        <f t="shared" si="2"/>
        <v>d</v>
      </c>
      <c r="CO6" s="29" t="str">
        <f t="shared" si="2"/>
        <v>l</v>
      </c>
      <c r="CP6" s="29" t="str">
        <f t="shared" si="2"/>
        <v>m</v>
      </c>
      <c r="CQ6" s="29" t="str">
        <f t="shared" si="2"/>
        <v>m</v>
      </c>
      <c r="CR6" s="29" t="str">
        <f t="shared" si="2"/>
        <v>j</v>
      </c>
      <c r="CS6" s="29" t="str">
        <f t="shared" si="2"/>
        <v>v</v>
      </c>
      <c r="CT6" s="29" t="str">
        <f t="shared" si="2"/>
        <v>s</v>
      </c>
      <c r="CU6" s="29" t="str">
        <f t="shared" si="2"/>
        <v>d</v>
      </c>
      <c r="CV6" s="29" t="str">
        <f t="shared" si="2"/>
        <v>l</v>
      </c>
      <c r="CW6" s="29" t="str">
        <f t="shared" si="2"/>
        <v>m</v>
      </c>
      <c r="CX6" s="29" t="str">
        <f t="shared" si="2"/>
        <v>m</v>
      </c>
      <c r="CY6" s="29" t="str">
        <f t="shared" si="2"/>
        <v>j</v>
      </c>
      <c r="CZ6" s="29" t="str">
        <f t="shared" si="2"/>
        <v>v</v>
      </c>
      <c r="DA6" s="29" t="str">
        <f t="shared" si="2"/>
        <v>s</v>
      </c>
      <c r="DB6" s="29" t="str">
        <f t="shared" si="2"/>
        <v>d</v>
      </c>
      <c r="DC6" s="29" t="str">
        <f t="shared" si="2"/>
        <v>l</v>
      </c>
      <c r="DD6" s="29" t="str">
        <f t="shared" si="2"/>
        <v>m</v>
      </c>
      <c r="DE6" s="29" t="str">
        <f t="shared" si="2"/>
        <v>m</v>
      </c>
      <c r="DF6" s="29" t="str">
        <f t="shared" si="2"/>
        <v>j</v>
      </c>
      <c r="DG6" s="29" t="str">
        <f t="shared" si="2"/>
        <v>v</v>
      </c>
      <c r="DH6" s="29" t="str">
        <f t="shared" si="2"/>
        <v>s</v>
      </c>
      <c r="DI6" s="29" t="str">
        <f t="shared" si="2"/>
        <v>d</v>
      </c>
    </row>
    <row r="7" ht="30.0" hidden="1" customHeight="1">
      <c r="A7" s="8" t="s">
        <v>19</v>
      </c>
      <c r="C7" s="30"/>
      <c r="H7" s="31" t="str">
        <f>IF(OR(ISBLANK(ProjectSchedule!task_start),ISBLANK(ProjectSchedule!task_end)),"",ProjectSchedule!task_end-ProjectSchedule!task_start+1)</f>
        <v/>
      </c>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row>
    <row r="8" ht="30.0" customHeight="1">
      <c r="A8" s="17" t="s">
        <v>20</v>
      </c>
      <c r="B8" s="33" t="s">
        <v>21</v>
      </c>
      <c r="C8" s="34"/>
      <c r="D8" s="35"/>
      <c r="E8" s="36"/>
      <c r="F8" s="36"/>
      <c r="G8" s="37"/>
      <c r="H8" s="37" t="str">
        <f>IF(OR(ISBLANK(ProjectSchedule!task_start),ISBLANK(ProjectSchedule!task_end)),"",ProjectSchedule!task_end-ProjectSchedule!task_start+1)</f>
        <v/>
      </c>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row>
    <row r="9" ht="30.0" customHeight="1">
      <c r="A9" s="17" t="s">
        <v>22</v>
      </c>
      <c r="B9" s="38" t="s">
        <v>23</v>
      </c>
      <c r="C9" s="39" t="s">
        <v>24</v>
      </c>
      <c r="D9" s="40">
        <v>1.0</v>
      </c>
      <c r="E9" s="41">
        <v>46097.0</v>
      </c>
      <c r="F9" s="41">
        <v>46100.0</v>
      </c>
      <c r="G9" s="37"/>
      <c r="H9" s="37" t="str">
        <f>IF(OR(ISBLANK(ProjectSchedule!task_start),ISBLANK(ProjectSchedule!task_end)),"",ProjectSchedule!task_end-ProjectSchedule!task_start+1)</f>
        <v/>
      </c>
      <c r="I9" s="42"/>
      <c r="J9" s="43"/>
      <c r="K9" s="43"/>
      <c r="L9" s="44"/>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row>
    <row r="10" ht="30.0" customHeight="1">
      <c r="A10" s="17" t="s">
        <v>25</v>
      </c>
      <c r="B10" s="38" t="s">
        <v>26</v>
      </c>
      <c r="C10" s="39" t="s">
        <v>24</v>
      </c>
      <c r="D10" s="40">
        <v>1.0</v>
      </c>
      <c r="E10" s="41">
        <v>46099.0</v>
      </c>
      <c r="F10" s="41">
        <v>46100.0</v>
      </c>
      <c r="G10" s="37"/>
      <c r="H10" s="37" t="str">
        <f>IF(OR(ISBLANK(ProjectSchedule!task_start),ISBLANK(ProjectSchedule!task_end)),"",ProjectSchedule!task_end-ProjectSchedule!task_start+1)</f>
        <v/>
      </c>
      <c r="I10" s="32"/>
      <c r="J10" s="32"/>
      <c r="K10" s="42"/>
      <c r="L10" s="44"/>
      <c r="M10" s="32"/>
      <c r="N10" s="32"/>
      <c r="O10" s="32"/>
      <c r="P10" s="32"/>
      <c r="Q10" s="32"/>
      <c r="R10" s="32"/>
      <c r="S10" s="32"/>
      <c r="T10" s="32"/>
      <c r="U10" s="45"/>
      <c r="V10" s="45"/>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row>
    <row r="11" ht="30.0" customHeight="1">
      <c r="A11" s="8"/>
      <c r="B11" s="38" t="s">
        <v>27</v>
      </c>
      <c r="C11" s="39" t="s">
        <v>24</v>
      </c>
      <c r="D11" s="40">
        <v>1.0</v>
      </c>
      <c r="E11" s="41">
        <v>46099.0</v>
      </c>
      <c r="F11" s="41">
        <v>46102.0</v>
      </c>
      <c r="G11" s="37"/>
      <c r="H11" s="37" t="str">
        <f>IF(OR(ISBLANK(ProjectSchedule!task_start),ISBLANK(ProjectSchedule!task_end)),"",ProjectSchedule!task_end-ProjectSchedule!task_start+1)</f>
        <v/>
      </c>
      <c r="I11" s="32"/>
      <c r="J11" s="32"/>
      <c r="K11" s="42"/>
      <c r="L11" s="43"/>
      <c r="M11" s="43"/>
      <c r="N11" s="44"/>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row>
    <row r="12" ht="30.0" customHeight="1">
      <c r="A12" s="8"/>
      <c r="B12" s="38" t="s">
        <v>28</v>
      </c>
      <c r="C12" s="39" t="s">
        <v>29</v>
      </c>
      <c r="D12" s="40">
        <v>1.0</v>
      </c>
      <c r="E12" s="41">
        <v>46103.0</v>
      </c>
      <c r="F12" s="41">
        <v>46105.0</v>
      </c>
      <c r="G12" s="37"/>
      <c r="H12" s="37"/>
      <c r="I12" s="32"/>
      <c r="J12" s="32"/>
      <c r="K12" s="32"/>
      <c r="L12" s="32"/>
      <c r="M12" s="32"/>
      <c r="N12" s="32"/>
      <c r="O12" s="42"/>
      <c r="P12" s="43"/>
      <c r="Q12" s="44"/>
      <c r="R12" s="32"/>
      <c r="S12" s="32"/>
      <c r="T12" s="32"/>
      <c r="U12" s="32"/>
      <c r="V12" s="32"/>
      <c r="W12" s="32"/>
      <c r="X12" s="32"/>
      <c r="Y12" s="45"/>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row>
    <row r="13" ht="30.0" customHeight="1">
      <c r="A13" s="8"/>
      <c r="B13" s="38" t="s">
        <v>30</v>
      </c>
      <c r="C13" s="39" t="s">
        <v>24</v>
      </c>
      <c r="D13" s="40">
        <v>1.0</v>
      </c>
      <c r="E13" s="41">
        <v>46105.0</v>
      </c>
      <c r="F13" s="41">
        <v>46111.0</v>
      </c>
      <c r="G13" s="37"/>
      <c r="H13" s="37" t="str">
        <f>IF(OR(ISBLANK(ProjectSchedule!task_start),ISBLANK(ProjectSchedule!task_end)),"",ProjectSchedule!task_end-ProjectSchedule!task_start+1)</f>
        <v/>
      </c>
      <c r="I13" s="32"/>
      <c r="J13" s="32"/>
      <c r="K13" s="32"/>
      <c r="L13" s="32"/>
      <c r="M13" s="32"/>
      <c r="N13" s="32"/>
      <c r="O13" s="32"/>
      <c r="P13" s="32"/>
      <c r="Q13" s="42"/>
      <c r="R13" s="43"/>
      <c r="S13" s="43"/>
      <c r="T13" s="43"/>
      <c r="U13" s="43"/>
      <c r="V13" s="43"/>
      <c r="W13" s="44"/>
      <c r="X13" s="32"/>
      <c r="Y13" s="45"/>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row>
    <row r="14" ht="30.0" customHeight="1">
      <c r="A14" s="8"/>
      <c r="B14" s="38" t="s">
        <v>31</v>
      </c>
      <c r="C14" s="39" t="s">
        <v>32</v>
      </c>
      <c r="D14" s="40">
        <v>1.0</v>
      </c>
      <c r="E14" s="41">
        <v>46106.0</v>
      </c>
      <c r="F14" s="41">
        <v>46112.0</v>
      </c>
      <c r="G14" s="37"/>
      <c r="H14" s="37" t="str">
        <f>IF(OR(ISBLANK(ProjectSchedule!task_start),ISBLANK(ProjectSchedule!task_end)),"",ProjectSchedule!task_end-ProjectSchedule!task_start+1)</f>
        <v/>
      </c>
      <c r="I14" s="32"/>
      <c r="J14" s="32"/>
      <c r="K14" s="32"/>
      <c r="L14" s="32"/>
      <c r="M14" s="32"/>
      <c r="N14" s="32"/>
      <c r="O14" s="32"/>
      <c r="P14" s="32"/>
      <c r="Q14" s="32"/>
      <c r="R14" s="42"/>
      <c r="S14" s="43"/>
      <c r="T14" s="43"/>
      <c r="U14" s="43"/>
      <c r="V14" s="43"/>
      <c r="W14" s="43"/>
      <c r="X14" s="44"/>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row>
    <row r="15" ht="30.0" customHeight="1">
      <c r="A15" s="17" t="s">
        <v>33</v>
      </c>
      <c r="B15" s="46" t="s">
        <v>34</v>
      </c>
      <c r="C15" s="47"/>
      <c r="D15" s="48"/>
      <c r="E15" s="49"/>
      <c r="F15" s="49"/>
      <c r="G15" s="37"/>
      <c r="H15" s="37" t="str">
        <f>IF(OR(ISBLANK(ProjectSchedule!task_start),ISBLANK(ProjectSchedule!task_end)),"",ProjectSchedule!task_end-ProjectSchedule!task_start+1)</f>
        <v/>
      </c>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row>
    <row r="16" ht="30.0" customHeight="1">
      <c r="A16" s="17"/>
      <c r="B16" s="46" t="s">
        <v>35</v>
      </c>
      <c r="C16" s="47"/>
      <c r="D16" s="48"/>
      <c r="E16" s="49"/>
      <c r="F16" s="49"/>
      <c r="G16" s="37"/>
      <c r="H16" s="37"/>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row>
    <row r="17" ht="30.0" customHeight="1">
      <c r="A17" s="17"/>
      <c r="B17" s="50" t="s">
        <v>36</v>
      </c>
      <c r="C17" s="51" t="s">
        <v>24</v>
      </c>
      <c r="D17" s="52">
        <v>1.0</v>
      </c>
      <c r="E17" s="53">
        <v>46113.0</v>
      </c>
      <c r="F17" s="53">
        <v>46114.0</v>
      </c>
      <c r="G17" s="37"/>
      <c r="H17" s="37" t="str">
        <f>IF(OR(ISBLANK(ProjectSchedule!task_start),ISBLANK(ProjectSchedule!task_end)),"",ProjectSchedule!task_end-ProjectSchedule!task_start+1)</f>
        <v/>
      </c>
      <c r="I17" s="32"/>
      <c r="J17" s="32"/>
      <c r="K17" s="32"/>
      <c r="L17" s="32"/>
      <c r="M17" s="32"/>
      <c r="N17" s="32"/>
      <c r="O17" s="32"/>
      <c r="P17" s="32"/>
      <c r="Q17" s="32"/>
      <c r="R17" s="32"/>
      <c r="S17" s="32"/>
      <c r="T17" s="32"/>
      <c r="U17" s="32"/>
      <c r="V17" s="32"/>
      <c r="W17" s="32"/>
      <c r="X17" s="32"/>
      <c r="Y17" s="54"/>
      <c r="Z17" s="44"/>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row>
    <row r="18" ht="30.0" customHeight="1">
      <c r="A18" s="8"/>
      <c r="B18" s="50" t="s">
        <v>37</v>
      </c>
      <c r="C18" s="51" t="s">
        <v>24</v>
      </c>
      <c r="D18" s="52">
        <v>1.0</v>
      </c>
      <c r="E18" s="53">
        <v>46114.0</v>
      </c>
      <c r="F18" s="53">
        <v>46117.0</v>
      </c>
      <c r="G18" s="37"/>
      <c r="H18" s="37" t="str">
        <f>IF(OR(ISBLANK(ProjectSchedule!task_start),ISBLANK(ProjectSchedule!task_end)),"",ProjectSchedule!task_end-ProjectSchedule!task_start+1)</f>
        <v/>
      </c>
      <c r="I18" s="32"/>
      <c r="J18" s="32"/>
      <c r="K18" s="32"/>
      <c r="L18" s="32"/>
      <c r="M18" s="32"/>
      <c r="N18" s="32"/>
      <c r="O18" s="32"/>
      <c r="P18" s="32"/>
      <c r="Q18" s="32"/>
      <c r="R18" s="32"/>
      <c r="S18" s="32"/>
      <c r="T18" s="32"/>
      <c r="U18" s="45"/>
      <c r="V18" s="45"/>
      <c r="W18" s="32"/>
      <c r="X18" s="32"/>
      <c r="Y18" s="32"/>
      <c r="Z18" s="54"/>
      <c r="AA18" s="43"/>
      <c r="AB18" s="43"/>
      <c r="AC18" s="44"/>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row>
    <row r="19" ht="30.0" customHeight="1">
      <c r="A19" s="8"/>
      <c r="B19" s="50" t="s">
        <v>38</v>
      </c>
      <c r="C19" s="51" t="s">
        <v>24</v>
      </c>
      <c r="D19" s="52">
        <v>1.0</v>
      </c>
      <c r="E19" s="53">
        <v>46115.0</v>
      </c>
      <c r="F19" s="53">
        <v>46130.0</v>
      </c>
      <c r="G19" s="37"/>
      <c r="H19" s="37" t="str">
        <f>IF(OR(ISBLANK(ProjectSchedule!task_start),ISBLANK(ProjectSchedule!task_end)),"",ProjectSchedule!task_end-ProjectSchedule!task_start+1)</f>
        <v/>
      </c>
      <c r="I19" s="32"/>
      <c r="J19" s="32"/>
      <c r="K19" s="32"/>
      <c r="L19" s="32"/>
      <c r="M19" s="32"/>
      <c r="N19" s="32"/>
      <c r="O19" s="32"/>
      <c r="P19" s="32"/>
      <c r="Q19" s="32"/>
      <c r="R19" s="32"/>
      <c r="S19" s="32"/>
      <c r="T19" s="32"/>
      <c r="U19" s="32"/>
      <c r="V19" s="32"/>
      <c r="W19" s="32"/>
      <c r="X19" s="32"/>
      <c r="Y19" s="32"/>
      <c r="Z19" s="32"/>
      <c r="AA19" s="54"/>
      <c r="AB19" s="43"/>
      <c r="AC19" s="43"/>
      <c r="AD19" s="43"/>
      <c r="AE19" s="43"/>
      <c r="AF19" s="43"/>
      <c r="AG19" s="43"/>
      <c r="AH19" s="43"/>
      <c r="AI19" s="43"/>
      <c r="AJ19" s="43"/>
      <c r="AK19" s="43"/>
      <c r="AL19" s="43"/>
      <c r="AM19" s="43"/>
      <c r="AN19" s="43"/>
      <c r="AO19" s="43"/>
      <c r="AP19" s="44"/>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row>
    <row r="20" ht="30.0" customHeight="1">
      <c r="A20" s="8"/>
      <c r="B20" s="50" t="s">
        <v>39</v>
      </c>
      <c r="C20" s="51" t="s">
        <v>40</v>
      </c>
      <c r="D20" s="52">
        <v>0.9</v>
      </c>
      <c r="E20" s="53">
        <v>46172.0</v>
      </c>
      <c r="F20" s="53">
        <v>46192.0</v>
      </c>
      <c r="G20" s="37"/>
      <c r="H20" s="37" t="str">
        <f>IF(OR(ISBLANK(ProjectSchedule!task_start),ISBLANK(ProjectSchedule!task_end)),"",ProjectSchedule!task_end-ProjectSchedule!task_start+1)</f>
        <v/>
      </c>
      <c r="I20" s="32"/>
      <c r="J20" s="32"/>
      <c r="K20" s="32"/>
      <c r="L20" s="32"/>
      <c r="M20" s="32"/>
      <c r="N20" s="32"/>
      <c r="O20" s="32"/>
      <c r="P20" s="32"/>
      <c r="Q20" s="32"/>
      <c r="R20" s="32"/>
      <c r="S20" s="32"/>
      <c r="T20" s="32"/>
      <c r="U20" s="32"/>
      <c r="V20" s="32"/>
      <c r="W20" s="32"/>
      <c r="X20" s="32"/>
      <c r="Y20" s="45"/>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54"/>
      <c r="CG20" s="43"/>
      <c r="CH20" s="43"/>
      <c r="CI20" s="43"/>
      <c r="CJ20" s="43"/>
      <c r="CK20" s="43"/>
      <c r="CL20" s="43"/>
      <c r="CM20" s="43"/>
      <c r="CN20" s="43"/>
      <c r="CO20" s="43"/>
      <c r="CP20" s="43"/>
      <c r="CQ20" s="43"/>
      <c r="CR20" s="43"/>
      <c r="CS20" s="43"/>
      <c r="CT20" s="43"/>
      <c r="CU20" s="43"/>
      <c r="CV20" s="43"/>
      <c r="CW20" s="43"/>
      <c r="CX20" s="43"/>
      <c r="CY20" s="43"/>
      <c r="CZ20" s="44"/>
      <c r="DA20" s="32"/>
      <c r="DB20" s="32"/>
      <c r="DC20" s="32"/>
      <c r="DD20" s="32"/>
      <c r="DE20" s="32"/>
      <c r="DF20" s="32"/>
      <c r="DG20" s="32"/>
      <c r="DH20" s="32"/>
      <c r="DI20" s="32"/>
    </row>
    <row r="21" ht="30.0" customHeight="1">
      <c r="A21" s="8"/>
      <c r="B21" s="50" t="s">
        <v>41</v>
      </c>
      <c r="C21" s="51" t="s">
        <v>40</v>
      </c>
      <c r="D21" s="52">
        <v>1.0</v>
      </c>
      <c r="E21" s="53">
        <v>46128.0</v>
      </c>
      <c r="F21" s="53">
        <v>46133.0</v>
      </c>
      <c r="G21" s="37"/>
      <c r="H21" s="37" t="str">
        <f>IF(OR(ISBLANK(ProjectSchedule!task_start),ISBLANK(ProjectSchedule!task_end)),"",ProjectSchedule!task_end-ProjectSchedule!task_start+1)</f>
        <v/>
      </c>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54"/>
      <c r="AO21" s="43"/>
      <c r="AP21" s="43"/>
      <c r="AQ21" s="43"/>
      <c r="AR21" s="43"/>
      <c r="AS21" s="44"/>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row>
    <row r="22" ht="30.0" customHeight="1">
      <c r="A22" s="8"/>
      <c r="B22" s="50" t="s">
        <v>42</v>
      </c>
      <c r="C22" s="51" t="s">
        <v>24</v>
      </c>
      <c r="D22" s="52">
        <v>1.0</v>
      </c>
      <c r="E22" s="53">
        <v>46177.0</v>
      </c>
      <c r="F22" s="53">
        <v>46192.0</v>
      </c>
      <c r="G22" s="37"/>
      <c r="H22" s="37"/>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54"/>
      <c r="CL22" s="43"/>
      <c r="CM22" s="43"/>
      <c r="CN22" s="43"/>
      <c r="CO22" s="43"/>
      <c r="CP22" s="43"/>
      <c r="CQ22" s="43"/>
      <c r="CR22" s="43"/>
      <c r="CS22" s="43"/>
      <c r="CT22" s="43"/>
      <c r="CU22" s="43"/>
      <c r="CV22" s="43"/>
      <c r="CW22" s="43"/>
      <c r="CX22" s="43"/>
      <c r="CY22" s="43"/>
      <c r="CZ22" s="44"/>
      <c r="DA22" s="32"/>
      <c r="DB22" s="32"/>
      <c r="DC22" s="32"/>
      <c r="DD22" s="32"/>
      <c r="DE22" s="32"/>
      <c r="DF22" s="32"/>
      <c r="DG22" s="32"/>
      <c r="DH22" s="32"/>
      <c r="DI22" s="32"/>
    </row>
    <row r="23" ht="30.0" customHeight="1">
      <c r="A23" s="8"/>
      <c r="B23" s="50" t="s">
        <v>43</v>
      </c>
      <c r="C23" s="51" t="s">
        <v>40</v>
      </c>
      <c r="D23" s="52">
        <v>1.0</v>
      </c>
      <c r="E23" s="53">
        <v>46115.0</v>
      </c>
      <c r="F23" s="53">
        <v>46122.0</v>
      </c>
      <c r="G23" s="37"/>
      <c r="H23" s="37"/>
      <c r="I23" s="32"/>
      <c r="J23" s="32"/>
      <c r="K23" s="32"/>
      <c r="L23" s="32"/>
      <c r="M23" s="32"/>
      <c r="N23" s="32"/>
      <c r="O23" s="32"/>
      <c r="P23" s="32"/>
      <c r="Q23" s="32"/>
      <c r="R23" s="32"/>
      <c r="S23" s="32"/>
      <c r="T23" s="32"/>
      <c r="U23" s="32"/>
      <c r="V23" s="32"/>
      <c r="W23" s="32"/>
      <c r="X23" s="32"/>
      <c r="Y23" s="32"/>
      <c r="Z23" s="32"/>
      <c r="AA23" s="54"/>
      <c r="AB23" s="43"/>
      <c r="AC23" s="43"/>
      <c r="AD23" s="43"/>
      <c r="AE23" s="43"/>
      <c r="AF23" s="43"/>
      <c r="AG23" s="43"/>
      <c r="AH23" s="43"/>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row>
    <row r="24" ht="30.0" customHeight="1">
      <c r="A24" s="8"/>
      <c r="B24" s="50" t="s">
        <v>44</v>
      </c>
      <c r="C24" s="51" t="s">
        <v>24</v>
      </c>
      <c r="D24" s="52">
        <v>1.0</v>
      </c>
      <c r="E24" s="53">
        <v>46138.0</v>
      </c>
      <c r="F24" s="55">
        <v>46171.0</v>
      </c>
      <c r="G24" s="37"/>
      <c r="H24" s="37"/>
      <c r="I24" s="32"/>
      <c r="J24" s="32"/>
      <c r="K24" s="32"/>
      <c r="L24" s="32"/>
      <c r="M24" s="32"/>
      <c r="N24" s="32"/>
      <c r="O24" s="32"/>
      <c r="P24" s="32"/>
      <c r="Q24" s="32"/>
      <c r="R24" s="32"/>
      <c r="S24" s="32"/>
      <c r="T24" s="32"/>
      <c r="U24" s="32"/>
      <c r="V24" s="32"/>
      <c r="W24" s="32"/>
      <c r="X24" s="32"/>
      <c r="Y24" s="32"/>
      <c r="Z24" s="32"/>
      <c r="AA24" s="32"/>
      <c r="AB24" s="32"/>
      <c r="AC24" s="56"/>
      <c r="AD24" s="56"/>
      <c r="AE24" s="56"/>
      <c r="AF24" s="32"/>
      <c r="AG24" s="32"/>
      <c r="AH24" s="32"/>
      <c r="AI24" s="32"/>
      <c r="AJ24" s="32"/>
      <c r="AK24" s="32"/>
      <c r="AL24" s="32"/>
      <c r="AM24" s="32"/>
      <c r="AN24" s="32"/>
      <c r="AO24" s="32"/>
      <c r="AP24" s="32"/>
      <c r="AQ24" s="32"/>
      <c r="AR24" s="32"/>
      <c r="AS24" s="32"/>
      <c r="AT24" s="32"/>
      <c r="AU24" s="32"/>
      <c r="AV24" s="32"/>
      <c r="AW24" s="32"/>
      <c r="AX24" s="54"/>
      <c r="AY24" s="43"/>
      <c r="AZ24" s="43"/>
      <c r="BA24" s="43"/>
      <c r="BB24" s="43"/>
      <c r="BC24" s="43"/>
      <c r="BD24" s="43"/>
      <c r="BE24" s="43"/>
      <c r="BF24" s="43"/>
      <c r="BG24" s="43"/>
      <c r="BH24" s="43"/>
      <c r="BI24" s="43"/>
      <c r="BJ24" s="43"/>
      <c r="BK24" s="43"/>
      <c r="BL24" s="43"/>
      <c r="BM24" s="43"/>
      <c r="BN24" s="43"/>
      <c r="BO24" s="43"/>
      <c r="BP24" s="43"/>
      <c r="BQ24" s="43"/>
      <c r="BR24" s="43"/>
      <c r="BS24" s="43"/>
      <c r="BT24" s="43"/>
      <c r="BU24" s="43"/>
      <c r="BV24" s="43"/>
      <c r="BW24" s="43"/>
      <c r="BX24" s="43"/>
      <c r="BY24" s="43"/>
      <c r="BZ24" s="43"/>
      <c r="CA24" s="43"/>
      <c r="CB24" s="43"/>
      <c r="CC24" s="43"/>
      <c r="CD24" s="43"/>
      <c r="CE24" s="44"/>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row>
    <row r="25" ht="30.0" customHeight="1">
      <c r="A25" s="8"/>
      <c r="B25" s="50" t="s">
        <v>45</v>
      </c>
      <c r="C25" s="51" t="s">
        <v>24</v>
      </c>
      <c r="D25" s="52">
        <v>1.0</v>
      </c>
      <c r="E25" s="53">
        <v>46141.0</v>
      </c>
      <c r="F25" s="53">
        <v>46148.0</v>
      </c>
      <c r="G25" s="37"/>
      <c r="H25" s="37"/>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54"/>
      <c r="BB25" s="43"/>
      <c r="BC25" s="43"/>
      <c r="BD25" s="43"/>
      <c r="BE25" s="43"/>
      <c r="BF25" s="43"/>
      <c r="BG25" s="43"/>
      <c r="BH25" s="44"/>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row>
    <row r="26" ht="30.0" customHeight="1">
      <c r="A26" s="8"/>
      <c r="B26" s="50" t="s">
        <v>46</v>
      </c>
      <c r="C26" s="51" t="s">
        <v>24</v>
      </c>
      <c r="D26" s="52">
        <v>1.0</v>
      </c>
      <c r="E26" s="53">
        <v>46114.0</v>
      </c>
      <c r="F26" s="53">
        <v>46192.0</v>
      </c>
      <c r="G26" s="37"/>
      <c r="H26" s="37"/>
      <c r="I26" s="32"/>
      <c r="J26" s="32"/>
      <c r="K26" s="32"/>
      <c r="L26" s="32"/>
      <c r="M26" s="32"/>
      <c r="N26" s="32"/>
      <c r="O26" s="32"/>
      <c r="P26" s="32"/>
      <c r="Q26" s="32"/>
      <c r="R26" s="32"/>
      <c r="S26" s="32"/>
      <c r="T26" s="32"/>
      <c r="U26" s="32"/>
      <c r="V26" s="32"/>
      <c r="W26" s="32"/>
      <c r="X26" s="32"/>
      <c r="Y26" s="32"/>
      <c r="Z26" s="54"/>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c r="BM26" s="43"/>
      <c r="BN26" s="43"/>
      <c r="BO26" s="43"/>
      <c r="BP26" s="43"/>
      <c r="BQ26" s="43"/>
      <c r="BR26" s="43"/>
      <c r="BS26" s="43"/>
      <c r="BT26" s="43"/>
      <c r="BU26" s="43"/>
      <c r="BV26" s="43"/>
      <c r="BW26" s="43"/>
      <c r="BX26" s="43"/>
      <c r="BY26" s="43"/>
      <c r="BZ26" s="43"/>
      <c r="CA26" s="43"/>
      <c r="CB26" s="43"/>
      <c r="CC26" s="43"/>
      <c r="CD26" s="43"/>
      <c r="CE26" s="43"/>
      <c r="CF26" s="43"/>
      <c r="CG26" s="43"/>
      <c r="CH26" s="43"/>
      <c r="CI26" s="43"/>
      <c r="CJ26" s="43"/>
      <c r="CK26" s="43"/>
      <c r="CL26" s="43"/>
      <c r="CM26" s="43"/>
      <c r="CN26" s="43"/>
      <c r="CO26" s="43"/>
      <c r="CP26" s="43"/>
      <c r="CQ26" s="43"/>
      <c r="CR26" s="43"/>
      <c r="CS26" s="43"/>
      <c r="CT26" s="43"/>
      <c r="CU26" s="43"/>
      <c r="CV26" s="43"/>
      <c r="CW26" s="43"/>
      <c r="CX26" s="43"/>
      <c r="CY26" s="43"/>
      <c r="CZ26" s="43"/>
      <c r="DA26" s="32"/>
      <c r="DB26" s="32"/>
      <c r="DC26" s="32"/>
      <c r="DD26" s="32"/>
      <c r="DE26" s="32"/>
      <c r="DF26" s="32"/>
      <c r="DG26" s="32"/>
      <c r="DH26" s="32"/>
      <c r="DI26" s="32"/>
    </row>
    <row r="27" ht="30.0" customHeight="1">
      <c r="A27" s="17"/>
      <c r="B27" s="46" t="s">
        <v>47</v>
      </c>
      <c r="C27" s="47"/>
      <c r="D27" s="48"/>
      <c r="E27" s="49"/>
      <c r="F27" s="49"/>
      <c r="G27" s="37"/>
      <c r="H27" s="37"/>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row>
    <row r="28" ht="30.0" customHeight="1">
      <c r="A28" s="8"/>
      <c r="B28" s="50" t="s">
        <v>48</v>
      </c>
      <c r="C28" s="51" t="s">
        <v>40</v>
      </c>
      <c r="D28" s="52">
        <v>1.0</v>
      </c>
      <c r="E28" s="53">
        <v>46124.0</v>
      </c>
      <c r="F28" s="53">
        <v>46126.0</v>
      </c>
      <c r="G28" s="37"/>
      <c r="H28" s="37"/>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54"/>
      <c r="AK28" s="43"/>
      <c r="AL28" s="44"/>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row>
    <row r="29" ht="30.0" customHeight="1">
      <c r="A29" s="8"/>
      <c r="B29" s="50" t="s">
        <v>49</v>
      </c>
      <c r="C29" s="51" t="s">
        <v>40</v>
      </c>
      <c r="D29" s="52">
        <v>1.0</v>
      </c>
      <c r="E29" s="53">
        <v>46125.0</v>
      </c>
      <c r="F29" s="53">
        <v>46127.0</v>
      </c>
      <c r="G29" s="37"/>
      <c r="H29" s="37"/>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54"/>
      <c r="AL29" s="43"/>
      <c r="AM29" s="44"/>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row>
    <row r="30" ht="30.0" customHeight="1">
      <c r="A30" s="8"/>
      <c r="B30" s="50" t="s">
        <v>50</v>
      </c>
      <c r="C30" s="51" t="s">
        <v>24</v>
      </c>
      <c r="D30" s="52">
        <v>1.0</v>
      </c>
      <c r="E30" s="53">
        <v>46136.0</v>
      </c>
      <c r="F30" s="53">
        <v>46145.0</v>
      </c>
      <c r="G30" s="37"/>
      <c r="H30" s="37"/>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54"/>
      <c r="AW30" s="43"/>
      <c r="AX30" s="43"/>
      <c r="AY30" s="43"/>
      <c r="AZ30" s="43"/>
      <c r="BA30" s="43"/>
      <c r="BB30" s="43"/>
      <c r="BC30" s="43"/>
      <c r="BD30" s="43"/>
      <c r="BE30" s="44"/>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row>
    <row r="31" ht="30.0" customHeight="1">
      <c r="A31" s="8"/>
      <c r="B31" s="50" t="s">
        <v>51</v>
      </c>
      <c r="C31" s="51" t="s">
        <v>24</v>
      </c>
      <c r="D31" s="52">
        <v>1.0</v>
      </c>
      <c r="E31" s="53">
        <v>46127.0</v>
      </c>
      <c r="F31" s="53">
        <v>46176.0</v>
      </c>
      <c r="G31" s="37"/>
      <c r="H31" s="37"/>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54"/>
      <c r="AN31" s="43"/>
      <c r="AO31" s="43"/>
      <c r="AP31" s="43"/>
      <c r="AQ31" s="43"/>
      <c r="AR31" s="43"/>
      <c r="AS31" s="43"/>
      <c r="AT31" s="43"/>
      <c r="AU31" s="43"/>
      <c r="AV31" s="43"/>
      <c r="AW31" s="43"/>
      <c r="AX31" s="43"/>
      <c r="AY31" s="43"/>
      <c r="AZ31" s="43"/>
      <c r="BA31" s="43"/>
      <c r="BB31" s="43"/>
      <c r="BC31" s="43"/>
      <c r="BD31" s="43"/>
      <c r="BE31" s="43"/>
      <c r="BF31" s="43"/>
      <c r="BG31" s="43"/>
      <c r="BH31" s="43"/>
      <c r="BI31" s="43"/>
      <c r="BJ31" s="43"/>
      <c r="BK31" s="43"/>
      <c r="BL31" s="43"/>
      <c r="BM31" s="43"/>
      <c r="BN31" s="43"/>
      <c r="BO31" s="43"/>
      <c r="BP31" s="43"/>
      <c r="BQ31" s="43"/>
      <c r="BR31" s="43"/>
      <c r="BS31" s="43"/>
      <c r="BT31" s="43"/>
      <c r="BU31" s="43"/>
      <c r="BV31" s="43"/>
      <c r="BW31" s="43"/>
      <c r="BX31" s="43"/>
      <c r="BY31" s="43"/>
      <c r="BZ31" s="43"/>
      <c r="CA31" s="43"/>
      <c r="CB31" s="43"/>
      <c r="CC31" s="43"/>
      <c r="CD31" s="43"/>
      <c r="CE31" s="43"/>
      <c r="CF31" s="43"/>
      <c r="CG31" s="43"/>
      <c r="CH31" s="43"/>
      <c r="CI31" s="43"/>
      <c r="CJ31" s="44"/>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row>
    <row r="32" ht="30.0" customHeight="1">
      <c r="A32" s="8"/>
      <c r="B32" s="50" t="s">
        <v>52</v>
      </c>
      <c r="C32" s="51" t="s">
        <v>24</v>
      </c>
      <c r="D32" s="52">
        <v>1.0</v>
      </c>
      <c r="E32" s="53">
        <v>46126.0</v>
      </c>
      <c r="F32" s="53">
        <v>46131.0</v>
      </c>
      <c r="G32" s="37"/>
      <c r="H32" s="37"/>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54"/>
      <c r="AO32" s="43"/>
      <c r="AP32" s="43"/>
      <c r="AQ32" s="44"/>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row>
    <row r="33" ht="30.0" customHeight="1">
      <c r="A33" s="8"/>
      <c r="B33" s="50" t="s">
        <v>53</v>
      </c>
      <c r="C33" s="51" t="s">
        <v>24</v>
      </c>
      <c r="D33" s="52">
        <v>1.0</v>
      </c>
      <c r="E33" s="53">
        <v>46126.0</v>
      </c>
      <c r="F33" s="53">
        <v>46141.0</v>
      </c>
      <c r="G33" s="37"/>
      <c r="H33" s="37"/>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54"/>
      <c r="AM33" s="43"/>
      <c r="AN33" s="43"/>
      <c r="AO33" s="43"/>
      <c r="AP33" s="43"/>
      <c r="AQ33" s="43"/>
      <c r="AR33" s="43"/>
      <c r="AS33" s="43"/>
      <c r="AT33" s="43"/>
      <c r="AU33" s="43"/>
      <c r="AV33" s="43"/>
      <c r="AW33" s="43"/>
      <c r="AX33" s="43"/>
      <c r="AY33" s="43"/>
      <c r="AZ33" s="43"/>
      <c r="BA33" s="44"/>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row>
    <row r="34" ht="30.0" customHeight="1">
      <c r="A34" s="8"/>
      <c r="B34" s="50" t="s">
        <v>54</v>
      </c>
      <c r="C34" s="51" t="s">
        <v>32</v>
      </c>
      <c r="D34" s="52">
        <v>1.0</v>
      </c>
      <c r="E34" s="53">
        <v>46132.0</v>
      </c>
      <c r="F34" s="53">
        <v>46155.0</v>
      </c>
      <c r="G34" s="37"/>
      <c r="H34" s="37"/>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54"/>
      <c r="AS34" s="43"/>
      <c r="AT34" s="43"/>
      <c r="AU34" s="43"/>
      <c r="AV34" s="43"/>
      <c r="AW34" s="43"/>
      <c r="AX34" s="43"/>
      <c r="AY34" s="43"/>
      <c r="AZ34" s="43"/>
      <c r="BA34" s="43"/>
      <c r="BB34" s="43"/>
      <c r="BC34" s="43"/>
      <c r="BD34" s="43"/>
      <c r="BE34" s="43"/>
      <c r="BF34" s="43"/>
      <c r="BG34" s="43"/>
      <c r="BH34" s="43"/>
      <c r="BI34" s="43"/>
      <c r="BJ34" s="43"/>
      <c r="BK34" s="43"/>
      <c r="BL34" s="43"/>
      <c r="BM34" s="43"/>
      <c r="BN34" s="43"/>
      <c r="BO34" s="44"/>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row>
    <row r="35" ht="30.0" customHeight="1">
      <c r="A35" s="8"/>
      <c r="B35" s="50" t="s">
        <v>55</v>
      </c>
      <c r="C35" s="51" t="s">
        <v>32</v>
      </c>
      <c r="D35" s="52">
        <v>1.0</v>
      </c>
      <c r="E35" s="53">
        <v>46165.0</v>
      </c>
      <c r="F35" s="53">
        <v>46186.0</v>
      </c>
      <c r="G35" s="37"/>
      <c r="H35" s="37"/>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54"/>
      <c r="BZ35" s="43"/>
      <c r="CA35" s="43"/>
      <c r="CB35" s="43"/>
      <c r="CC35" s="43"/>
      <c r="CD35" s="43"/>
      <c r="CE35" s="43"/>
      <c r="CF35" s="43"/>
      <c r="CG35" s="43"/>
      <c r="CH35" s="43"/>
      <c r="CI35" s="43"/>
      <c r="CJ35" s="43"/>
      <c r="CK35" s="43"/>
      <c r="CL35" s="43"/>
      <c r="CM35" s="43"/>
      <c r="CN35" s="43"/>
      <c r="CO35" s="43"/>
      <c r="CP35" s="43"/>
      <c r="CQ35" s="43"/>
      <c r="CR35" s="43"/>
      <c r="CS35" s="43"/>
      <c r="CT35" s="44"/>
      <c r="CU35" s="32"/>
      <c r="CV35" s="32"/>
      <c r="CW35" s="32"/>
      <c r="CX35" s="32"/>
      <c r="CY35" s="32"/>
      <c r="CZ35" s="32"/>
      <c r="DA35" s="32"/>
      <c r="DB35" s="32"/>
      <c r="DC35" s="32"/>
      <c r="DD35" s="32"/>
      <c r="DE35" s="32"/>
      <c r="DF35" s="32"/>
      <c r="DG35" s="32"/>
      <c r="DH35" s="32"/>
      <c r="DI35" s="32"/>
    </row>
    <row r="36" ht="30.0" customHeight="1">
      <c r="A36" s="17"/>
      <c r="B36" s="46" t="s">
        <v>56</v>
      </c>
      <c r="C36" s="47"/>
      <c r="D36" s="48"/>
      <c r="E36" s="49"/>
      <c r="F36" s="49"/>
      <c r="G36" s="37"/>
      <c r="H36" s="37"/>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row>
    <row r="37" ht="30.0" customHeight="1">
      <c r="A37" s="17"/>
      <c r="B37" s="50" t="s">
        <v>57</v>
      </c>
      <c r="C37" s="51" t="s">
        <v>58</v>
      </c>
      <c r="D37" s="52">
        <v>1.0</v>
      </c>
      <c r="E37" s="53">
        <v>46147.0</v>
      </c>
      <c r="F37" s="53">
        <v>46150.0</v>
      </c>
      <c r="G37" s="37"/>
      <c r="H37" s="37"/>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54"/>
      <c r="BH37" s="43"/>
      <c r="BI37" s="43"/>
      <c r="BJ37" s="44"/>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row>
    <row r="38" ht="30.0" customHeight="1">
      <c r="A38" s="17"/>
      <c r="B38" s="50" t="s">
        <v>59</v>
      </c>
      <c r="C38" s="51" t="s">
        <v>58</v>
      </c>
      <c r="D38" s="52">
        <v>1.0</v>
      </c>
      <c r="E38" s="53">
        <v>46150.0</v>
      </c>
      <c r="F38" s="53">
        <v>46157.0</v>
      </c>
      <c r="G38" s="37"/>
      <c r="H38" s="37"/>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54"/>
      <c r="BK38" s="43"/>
      <c r="BL38" s="43"/>
      <c r="BM38" s="43"/>
      <c r="BN38" s="43"/>
      <c r="BO38" s="43"/>
      <c r="BP38" s="43"/>
      <c r="BQ38" s="44"/>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row>
    <row r="39" ht="30.0" customHeight="1">
      <c r="A39" s="17"/>
      <c r="B39" s="50" t="s">
        <v>60</v>
      </c>
      <c r="C39" s="51" t="s">
        <v>58</v>
      </c>
      <c r="D39" s="52">
        <v>1.0</v>
      </c>
      <c r="E39" s="53">
        <v>46151.0</v>
      </c>
      <c r="F39" s="53">
        <v>46193.0</v>
      </c>
      <c r="G39" s="37"/>
      <c r="H39" s="37"/>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54"/>
      <c r="BL39" s="43"/>
      <c r="BM39" s="43"/>
      <c r="BN39" s="43"/>
      <c r="BO39" s="43"/>
      <c r="BP39" s="43"/>
      <c r="BQ39" s="43"/>
      <c r="BR39" s="43"/>
      <c r="BS39" s="43"/>
      <c r="BT39" s="43"/>
      <c r="BU39" s="43"/>
      <c r="BV39" s="43"/>
      <c r="BW39" s="43"/>
      <c r="BX39" s="43"/>
      <c r="BY39" s="43"/>
      <c r="BZ39" s="43"/>
      <c r="CA39" s="43"/>
      <c r="CB39" s="43"/>
      <c r="CC39" s="43"/>
      <c r="CD39" s="43"/>
      <c r="CE39" s="43"/>
      <c r="CF39" s="43"/>
      <c r="CG39" s="43"/>
      <c r="CH39" s="43"/>
      <c r="CI39" s="43"/>
      <c r="CJ39" s="43"/>
      <c r="CK39" s="43"/>
      <c r="CL39" s="43"/>
      <c r="CM39" s="43"/>
      <c r="CN39" s="43"/>
      <c r="CO39" s="43"/>
      <c r="CP39" s="43"/>
      <c r="CQ39" s="43"/>
      <c r="CR39" s="43"/>
      <c r="CS39" s="43"/>
      <c r="CT39" s="43"/>
      <c r="CU39" s="43"/>
      <c r="CV39" s="43"/>
      <c r="CW39" s="43"/>
      <c r="CX39" s="43"/>
      <c r="CY39" s="43"/>
      <c r="CZ39" s="43"/>
      <c r="DA39" s="44"/>
      <c r="DB39" s="32"/>
      <c r="DC39" s="32"/>
      <c r="DD39" s="32"/>
      <c r="DE39" s="32"/>
      <c r="DF39" s="32"/>
      <c r="DG39" s="32"/>
      <c r="DH39" s="32"/>
      <c r="DI39" s="32"/>
    </row>
    <row r="40" ht="30.0" customHeight="1">
      <c r="A40" s="17"/>
      <c r="B40" s="50" t="s">
        <v>61</v>
      </c>
      <c r="C40" s="51" t="s">
        <v>58</v>
      </c>
      <c r="D40" s="52">
        <v>1.0</v>
      </c>
      <c r="E40" s="53">
        <v>46154.0</v>
      </c>
      <c r="F40" s="53">
        <v>46157.0</v>
      </c>
      <c r="G40" s="37"/>
      <c r="H40" s="37"/>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54"/>
      <c r="BO40" s="43"/>
      <c r="BP40" s="43"/>
      <c r="BQ40" s="44"/>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row>
    <row r="41" ht="30.0" customHeight="1">
      <c r="A41" s="17"/>
      <c r="B41" s="50" t="s">
        <v>62</v>
      </c>
      <c r="C41" s="51" t="s">
        <v>58</v>
      </c>
      <c r="D41" s="52">
        <v>1.0</v>
      </c>
      <c r="E41" s="53">
        <v>46157.0</v>
      </c>
      <c r="F41" s="53">
        <v>46171.0</v>
      </c>
      <c r="G41" s="37"/>
      <c r="H41" s="37"/>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54"/>
      <c r="BR41" s="43"/>
      <c r="BS41" s="43"/>
      <c r="BT41" s="43"/>
      <c r="BU41" s="43"/>
      <c r="BV41" s="43"/>
      <c r="BW41" s="43"/>
      <c r="BX41" s="43"/>
      <c r="BY41" s="43"/>
      <c r="BZ41" s="43"/>
      <c r="CA41" s="43"/>
      <c r="CB41" s="43"/>
      <c r="CC41" s="43"/>
      <c r="CD41" s="43"/>
      <c r="CE41" s="44"/>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row>
    <row r="42" ht="30.0" customHeight="1">
      <c r="A42" s="17"/>
      <c r="B42" s="50" t="s">
        <v>63</v>
      </c>
      <c r="C42" s="51" t="s">
        <v>58</v>
      </c>
      <c r="D42" s="52">
        <v>1.0</v>
      </c>
      <c r="E42" s="53">
        <v>46172.0</v>
      </c>
      <c r="F42" s="53">
        <v>46178.0</v>
      </c>
      <c r="G42" s="37"/>
      <c r="H42" s="37"/>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54"/>
      <c r="CG42" s="43"/>
      <c r="CH42" s="43"/>
      <c r="CI42" s="43"/>
      <c r="CJ42" s="43"/>
      <c r="CK42" s="43"/>
      <c r="CL42" s="44"/>
      <c r="CM42" s="32"/>
      <c r="CN42" s="32"/>
      <c r="CO42" s="32"/>
      <c r="CP42" s="32"/>
      <c r="CQ42" s="32"/>
      <c r="CR42" s="32"/>
      <c r="CS42" s="32"/>
      <c r="CT42" s="32"/>
      <c r="CU42" s="32"/>
      <c r="CV42" s="32"/>
      <c r="CW42" s="32"/>
      <c r="CX42" s="32"/>
      <c r="CY42" s="32"/>
      <c r="CZ42" s="32"/>
      <c r="DA42" s="32"/>
      <c r="DB42" s="32"/>
      <c r="DC42" s="32"/>
      <c r="DD42" s="32"/>
      <c r="DE42" s="32"/>
      <c r="DF42" s="32"/>
      <c r="DG42" s="32"/>
      <c r="DH42" s="32"/>
      <c r="DI42" s="32"/>
    </row>
    <row r="43" ht="30.0" customHeight="1">
      <c r="A43" s="17"/>
      <c r="B43" s="50" t="s">
        <v>64</v>
      </c>
      <c r="C43" s="51" t="s">
        <v>58</v>
      </c>
      <c r="D43" s="52">
        <v>1.0</v>
      </c>
      <c r="E43" s="53">
        <v>46178.0</v>
      </c>
      <c r="F43" s="53">
        <v>46185.0</v>
      </c>
      <c r="G43" s="37"/>
      <c r="H43" s="37"/>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c r="CA43" s="32"/>
      <c r="CB43" s="32"/>
      <c r="CC43" s="32"/>
      <c r="CD43" s="32"/>
      <c r="CE43" s="32"/>
      <c r="CF43" s="32"/>
      <c r="CG43" s="32"/>
      <c r="CH43" s="32"/>
      <c r="CI43" s="32"/>
      <c r="CJ43" s="32"/>
      <c r="CK43" s="32"/>
      <c r="CL43" s="54"/>
      <c r="CM43" s="43"/>
      <c r="CN43" s="43"/>
      <c r="CO43" s="43"/>
      <c r="CP43" s="43"/>
      <c r="CQ43" s="43"/>
      <c r="CR43" s="43"/>
      <c r="CS43" s="44"/>
      <c r="CT43" s="32"/>
      <c r="CU43" s="32"/>
      <c r="CV43" s="32"/>
      <c r="CW43" s="32"/>
      <c r="CX43" s="32"/>
      <c r="CY43" s="32"/>
      <c r="CZ43" s="32"/>
      <c r="DA43" s="32"/>
      <c r="DB43" s="32"/>
      <c r="DC43" s="32"/>
      <c r="DD43" s="32"/>
      <c r="DE43" s="32"/>
      <c r="DF43" s="32"/>
      <c r="DG43" s="32"/>
      <c r="DH43" s="32"/>
      <c r="DI43" s="32"/>
    </row>
    <row r="44" ht="30.0" customHeight="1">
      <c r="A44" s="17"/>
      <c r="B44" s="50" t="s">
        <v>65</v>
      </c>
      <c r="C44" s="51" t="s">
        <v>58</v>
      </c>
      <c r="D44" s="52">
        <v>1.0</v>
      </c>
      <c r="E44" s="53">
        <v>46185.0</v>
      </c>
      <c r="F44" s="53">
        <v>46192.0</v>
      </c>
      <c r="G44" s="37"/>
      <c r="H44" s="37"/>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54"/>
      <c r="CT44" s="43"/>
      <c r="CU44" s="43"/>
      <c r="CV44" s="43"/>
      <c r="CW44" s="43"/>
      <c r="CX44" s="43"/>
      <c r="CY44" s="43"/>
      <c r="CZ44" s="44"/>
      <c r="DA44" s="32"/>
      <c r="DB44" s="32"/>
      <c r="DC44" s="32"/>
      <c r="DD44" s="32"/>
      <c r="DE44" s="32"/>
      <c r="DF44" s="32"/>
      <c r="DG44" s="32"/>
      <c r="DH44" s="32"/>
      <c r="DI44" s="32"/>
    </row>
    <row r="45" ht="30.0" customHeight="1">
      <c r="A45" s="17"/>
      <c r="B45" s="50" t="s">
        <v>66</v>
      </c>
      <c r="C45" s="51" t="s">
        <v>40</v>
      </c>
      <c r="D45" s="52">
        <v>1.0</v>
      </c>
      <c r="E45" s="53">
        <v>46177.0</v>
      </c>
      <c r="F45" s="53">
        <v>46193.0</v>
      </c>
      <c r="G45" s="37"/>
      <c r="H45" s="37"/>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2"/>
      <c r="CK45" s="54"/>
      <c r="CL45" s="43"/>
      <c r="CM45" s="43"/>
      <c r="CN45" s="43"/>
      <c r="CO45" s="43"/>
      <c r="CP45" s="43"/>
      <c r="CQ45" s="43"/>
      <c r="CR45" s="43"/>
      <c r="CS45" s="43"/>
      <c r="CT45" s="43"/>
      <c r="CU45" s="43"/>
      <c r="CV45" s="43"/>
      <c r="CW45" s="43"/>
      <c r="CX45" s="43"/>
      <c r="CY45" s="43"/>
      <c r="CZ45" s="43"/>
      <c r="DA45" s="44"/>
      <c r="DB45" s="32"/>
      <c r="DC45" s="32"/>
      <c r="DD45" s="32"/>
      <c r="DE45" s="32"/>
      <c r="DF45" s="32"/>
      <c r="DG45" s="32"/>
      <c r="DH45" s="32"/>
      <c r="DI45" s="32"/>
    </row>
    <row r="46" ht="30.0" customHeight="1">
      <c r="A46" s="17"/>
      <c r="B46" s="50" t="s">
        <v>67</v>
      </c>
      <c r="C46" s="51" t="s">
        <v>40</v>
      </c>
      <c r="D46" s="52">
        <v>1.0</v>
      </c>
      <c r="E46" s="53">
        <v>46193.0</v>
      </c>
      <c r="F46" s="53">
        <v>46198.0</v>
      </c>
      <c r="G46" s="37"/>
      <c r="H46" s="37"/>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54"/>
      <c r="DB46" s="43"/>
      <c r="DC46" s="43"/>
      <c r="DD46" s="43"/>
      <c r="DE46" s="43"/>
      <c r="DF46" s="44"/>
      <c r="DG46" s="32"/>
      <c r="DH46" s="32"/>
      <c r="DI46" s="32"/>
    </row>
    <row r="47" ht="30.0" customHeight="1">
      <c r="A47" s="17"/>
      <c r="B47" s="46" t="s">
        <v>68</v>
      </c>
      <c r="C47" s="47"/>
      <c r="D47" s="48"/>
      <c r="E47" s="49"/>
      <c r="F47" s="49"/>
      <c r="G47" s="37"/>
      <c r="H47" s="37"/>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row>
    <row r="48" ht="30.0" customHeight="1">
      <c r="A48" s="8"/>
      <c r="B48" s="50" t="s">
        <v>69</v>
      </c>
      <c r="C48" s="51" t="s">
        <v>24</v>
      </c>
      <c r="D48" s="52">
        <v>1.0</v>
      </c>
      <c r="E48" s="53">
        <v>46116.0</v>
      </c>
      <c r="F48" s="53">
        <v>46121.0</v>
      </c>
      <c r="G48" s="37"/>
      <c r="H48" s="37"/>
      <c r="I48" s="32"/>
      <c r="J48" s="32"/>
      <c r="K48" s="32"/>
      <c r="L48" s="32"/>
      <c r="M48" s="32"/>
      <c r="N48" s="32"/>
      <c r="O48" s="32"/>
      <c r="P48" s="32"/>
      <c r="Q48" s="32"/>
      <c r="R48" s="32"/>
      <c r="S48" s="32"/>
      <c r="T48" s="32"/>
      <c r="U48" s="32"/>
      <c r="V48" s="32"/>
      <c r="W48" s="32"/>
      <c r="X48" s="32"/>
      <c r="Y48" s="32"/>
      <c r="Z48" s="32"/>
      <c r="AA48" s="32"/>
      <c r="AB48" s="54"/>
      <c r="AC48" s="43"/>
      <c r="AD48" s="43"/>
      <c r="AE48" s="43"/>
      <c r="AF48" s="43"/>
      <c r="AG48" s="44"/>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row>
    <row r="49" ht="30.0" customHeight="1">
      <c r="A49" s="8"/>
      <c r="B49" s="50" t="s">
        <v>70</v>
      </c>
      <c r="C49" s="51" t="s">
        <v>71</v>
      </c>
      <c r="D49" s="52">
        <v>1.0</v>
      </c>
      <c r="E49" s="53">
        <v>46119.0</v>
      </c>
      <c r="F49" s="53">
        <v>46123.0</v>
      </c>
      <c r="G49" s="37"/>
      <c r="H49" s="37"/>
      <c r="I49" s="32"/>
      <c r="J49" s="32"/>
      <c r="K49" s="32"/>
      <c r="L49" s="32"/>
      <c r="M49" s="32"/>
      <c r="N49" s="32"/>
      <c r="O49" s="32"/>
      <c r="P49" s="32"/>
      <c r="Q49" s="32"/>
      <c r="R49" s="32"/>
      <c r="S49" s="32"/>
      <c r="T49" s="32"/>
      <c r="U49" s="32"/>
      <c r="V49" s="32"/>
      <c r="W49" s="32"/>
      <c r="X49" s="32"/>
      <c r="Y49" s="32"/>
      <c r="Z49" s="32"/>
      <c r="AA49" s="32"/>
      <c r="AB49" s="32"/>
      <c r="AC49" s="32"/>
      <c r="AD49" s="32"/>
      <c r="AE49" s="54"/>
      <c r="AF49" s="43"/>
      <c r="AG49" s="43"/>
      <c r="AH49" s="43"/>
      <c r="AI49" s="44"/>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row>
    <row r="50" ht="30.0" customHeight="1">
      <c r="A50" s="8"/>
      <c r="B50" s="50" t="s">
        <v>72</v>
      </c>
      <c r="C50" s="51" t="s">
        <v>32</v>
      </c>
      <c r="D50" s="52">
        <v>1.0</v>
      </c>
      <c r="E50" s="53">
        <v>46169.0</v>
      </c>
      <c r="F50" s="53">
        <v>46192.0</v>
      </c>
      <c r="G50" s="37"/>
      <c r="H50" s="37"/>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54"/>
      <c r="CD50" s="43"/>
      <c r="CE50" s="43"/>
      <c r="CF50" s="43"/>
      <c r="CG50" s="43"/>
      <c r="CH50" s="43"/>
      <c r="CI50" s="43"/>
      <c r="CJ50" s="43"/>
      <c r="CK50" s="43"/>
      <c r="CL50" s="43"/>
      <c r="CM50" s="43"/>
      <c r="CN50" s="43"/>
      <c r="CO50" s="43"/>
      <c r="CP50" s="43"/>
      <c r="CQ50" s="43"/>
      <c r="CR50" s="43"/>
      <c r="CS50" s="43"/>
      <c r="CT50" s="43"/>
      <c r="CU50" s="43"/>
      <c r="CV50" s="44"/>
      <c r="CW50" s="32"/>
      <c r="CX50" s="32"/>
      <c r="CY50" s="32"/>
      <c r="CZ50" s="32"/>
      <c r="DA50" s="32"/>
      <c r="DB50" s="32"/>
      <c r="DC50" s="32"/>
      <c r="DD50" s="32"/>
      <c r="DE50" s="32"/>
      <c r="DF50" s="32"/>
      <c r="DG50" s="32"/>
      <c r="DH50" s="32"/>
      <c r="DI50" s="32"/>
    </row>
    <row r="51" ht="30.0" customHeight="1">
      <c r="A51" s="8"/>
      <c r="B51" s="50" t="s">
        <v>73</v>
      </c>
      <c r="C51" s="51" t="s">
        <v>71</v>
      </c>
      <c r="D51" s="52">
        <v>0.95</v>
      </c>
      <c r="E51" s="53">
        <v>46141.0</v>
      </c>
      <c r="F51" s="53">
        <v>46192.0</v>
      </c>
      <c r="G51" s="37"/>
      <c r="H51" s="37"/>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54"/>
      <c r="BB51" s="43"/>
      <c r="BC51" s="43"/>
      <c r="BD51" s="43"/>
      <c r="BE51" s="43"/>
      <c r="BF51" s="43"/>
      <c r="BG51" s="43"/>
      <c r="BH51" s="43"/>
      <c r="BI51" s="43"/>
      <c r="BJ51" s="43"/>
      <c r="BK51" s="43"/>
      <c r="BL51" s="43"/>
      <c r="BM51" s="43"/>
      <c r="BN51" s="43"/>
      <c r="BO51" s="43"/>
      <c r="BP51" s="43"/>
      <c r="BQ51" s="43"/>
      <c r="BR51" s="43"/>
      <c r="BS51" s="43"/>
      <c r="BT51" s="43"/>
      <c r="BU51" s="43"/>
      <c r="BV51" s="43"/>
      <c r="BW51" s="43"/>
      <c r="BX51" s="43"/>
      <c r="BY51" s="43"/>
      <c r="BZ51" s="43"/>
      <c r="CA51" s="43"/>
      <c r="CB51" s="43"/>
      <c r="CC51" s="43"/>
      <c r="CD51" s="43"/>
      <c r="CE51" s="43"/>
      <c r="CF51" s="43"/>
      <c r="CG51" s="43"/>
      <c r="CH51" s="43"/>
      <c r="CI51" s="43"/>
      <c r="CJ51" s="43"/>
      <c r="CK51" s="43"/>
      <c r="CL51" s="43"/>
      <c r="CM51" s="43"/>
      <c r="CN51" s="43"/>
      <c r="CO51" s="43"/>
      <c r="CP51" s="43"/>
      <c r="CQ51" s="43"/>
      <c r="CR51" s="43"/>
      <c r="CS51" s="43"/>
      <c r="CT51" s="43"/>
      <c r="CU51" s="43"/>
      <c r="CV51" s="43"/>
      <c r="CW51" s="43"/>
      <c r="CX51" s="43"/>
      <c r="CY51" s="43"/>
      <c r="CZ51" s="44"/>
      <c r="DA51" s="32"/>
      <c r="DB51" s="32"/>
      <c r="DC51" s="32"/>
      <c r="DD51" s="32"/>
      <c r="DE51" s="32"/>
      <c r="DF51" s="32"/>
      <c r="DG51" s="32"/>
      <c r="DH51" s="32"/>
      <c r="DI51" s="32"/>
    </row>
    <row r="52" ht="30.0" customHeight="1">
      <c r="A52" s="17"/>
      <c r="B52" s="46" t="s">
        <v>74</v>
      </c>
      <c r="C52" s="47"/>
      <c r="D52" s="48"/>
      <c r="E52" s="49"/>
      <c r="F52" s="49"/>
      <c r="G52" s="37"/>
      <c r="H52" s="37"/>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row>
    <row r="53" ht="30.0" customHeight="1">
      <c r="A53" s="8"/>
      <c r="B53" s="50" t="s">
        <v>75</v>
      </c>
      <c r="C53" s="51" t="s">
        <v>24</v>
      </c>
      <c r="D53" s="52">
        <v>1.0</v>
      </c>
      <c r="E53" s="53">
        <v>46136.0</v>
      </c>
      <c r="F53" s="53">
        <v>46171.0</v>
      </c>
      <c r="G53" s="37"/>
      <c r="H53" s="37"/>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54"/>
      <c r="AW53" s="43"/>
      <c r="AX53" s="43"/>
      <c r="AY53" s="43"/>
      <c r="AZ53" s="43"/>
      <c r="BA53" s="43"/>
      <c r="BB53" s="43"/>
      <c r="BC53" s="43"/>
      <c r="BD53" s="43"/>
      <c r="BE53" s="43"/>
      <c r="BF53" s="43"/>
      <c r="BG53" s="43"/>
      <c r="BH53" s="43"/>
      <c r="BI53" s="43"/>
      <c r="BJ53" s="43"/>
      <c r="BK53" s="43"/>
      <c r="BL53" s="43"/>
      <c r="BM53" s="43"/>
      <c r="BN53" s="43"/>
      <c r="BO53" s="43"/>
      <c r="BP53" s="43"/>
      <c r="BQ53" s="43"/>
      <c r="BR53" s="43"/>
      <c r="BS53" s="43"/>
      <c r="BT53" s="43"/>
      <c r="BU53" s="43"/>
      <c r="BV53" s="43"/>
      <c r="BW53" s="43"/>
      <c r="BX53" s="43"/>
      <c r="BY53" s="43"/>
      <c r="BZ53" s="43"/>
      <c r="CA53" s="43"/>
      <c r="CB53" s="43"/>
      <c r="CC53" s="43"/>
      <c r="CD53" s="43"/>
      <c r="CE53" s="44"/>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row>
    <row r="54" ht="30.0" customHeight="1">
      <c r="A54" s="8"/>
      <c r="B54" s="50" t="s">
        <v>76</v>
      </c>
      <c r="C54" s="51" t="s">
        <v>32</v>
      </c>
      <c r="D54" s="52">
        <v>1.0</v>
      </c>
      <c r="E54" s="53">
        <v>46165.0</v>
      </c>
      <c r="F54" s="53">
        <v>46187.0</v>
      </c>
      <c r="G54" s="37"/>
      <c r="H54" s="37"/>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54"/>
      <c r="BZ54" s="43"/>
      <c r="CA54" s="43"/>
      <c r="CB54" s="43"/>
      <c r="CC54" s="43"/>
      <c r="CD54" s="43"/>
      <c r="CE54" s="43"/>
      <c r="CF54" s="43"/>
      <c r="CG54" s="43"/>
      <c r="CH54" s="43"/>
      <c r="CI54" s="43"/>
      <c r="CJ54" s="43"/>
      <c r="CK54" s="43"/>
      <c r="CL54" s="43"/>
      <c r="CM54" s="43"/>
      <c r="CN54" s="43"/>
      <c r="CO54" s="43"/>
      <c r="CP54" s="43"/>
      <c r="CQ54" s="43"/>
      <c r="CR54" s="43"/>
      <c r="CS54" s="43"/>
      <c r="CT54" s="43"/>
      <c r="CU54" s="44"/>
      <c r="CV54" s="32"/>
      <c r="CW54" s="32"/>
      <c r="CX54" s="32"/>
      <c r="CY54" s="32"/>
      <c r="CZ54" s="32"/>
      <c r="DA54" s="32"/>
      <c r="DB54" s="32"/>
      <c r="DC54" s="32"/>
      <c r="DD54" s="32"/>
      <c r="DE54" s="32"/>
      <c r="DF54" s="32"/>
      <c r="DG54" s="32"/>
      <c r="DH54" s="32"/>
      <c r="DI54" s="32"/>
    </row>
    <row r="55" ht="30.0" customHeight="1">
      <c r="A55" s="8" t="s">
        <v>77</v>
      </c>
      <c r="B55" s="57" t="s">
        <v>78</v>
      </c>
      <c r="C55" s="58"/>
      <c r="D55" s="59"/>
      <c r="E55" s="60"/>
      <c r="F55" s="60"/>
      <c r="G55" s="37"/>
      <c r="H55" s="37" t="str">
        <f>IF(OR(ISBLANK(ProjectSchedule!task_start),ISBLANK(ProjectSchedule!task_end)),"",ProjectSchedule!task_end-ProjectSchedule!task_start+1)</f>
        <v/>
      </c>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row>
    <row r="56" ht="30.0" customHeight="1">
      <c r="A56" s="8"/>
      <c r="B56" s="61" t="s">
        <v>79</v>
      </c>
      <c r="C56" s="62" t="s">
        <v>24</v>
      </c>
      <c r="D56" s="63">
        <v>0.95</v>
      </c>
      <c r="E56" s="64">
        <f>E9+15</f>
        <v>46112</v>
      </c>
      <c r="F56" s="65">
        <v>46191.0</v>
      </c>
      <c r="G56" s="37"/>
      <c r="H56" s="37" t="str">
        <f>IF(OR(ISBLANK(ProjectSchedule!task_start),ISBLANK(ProjectSchedule!task_end)),"",ProjectSchedule!task_end-ProjectSchedule!task_start+1)</f>
        <v/>
      </c>
      <c r="I56" s="32"/>
      <c r="J56" s="32"/>
      <c r="K56" s="32"/>
      <c r="L56" s="32"/>
      <c r="M56" s="32"/>
      <c r="N56" s="32"/>
      <c r="O56" s="32"/>
      <c r="P56" s="32"/>
      <c r="Q56" s="32"/>
      <c r="R56" s="32"/>
      <c r="S56" s="32"/>
      <c r="T56" s="32"/>
      <c r="U56" s="32"/>
      <c r="V56" s="32"/>
      <c r="W56" s="32"/>
      <c r="X56" s="66"/>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c r="BF56" s="43"/>
      <c r="BG56" s="43"/>
      <c r="BH56" s="43"/>
      <c r="BI56" s="43"/>
      <c r="BJ56" s="43"/>
      <c r="BK56" s="43"/>
      <c r="BL56" s="43"/>
      <c r="BM56" s="43"/>
      <c r="BN56" s="43"/>
      <c r="BO56" s="43"/>
      <c r="BP56" s="43"/>
      <c r="BQ56" s="43"/>
      <c r="BR56" s="43"/>
      <c r="BS56" s="43"/>
      <c r="BT56" s="43"/>
      <c r="BU56" s="43"/>
      <c r="BV56" s="43"/>
      <c r="BW56" s="43"/>
      <c r="BX56" s="43"/>
      <c r="BY56" s="43"/>
      <c r="BZ56" s="43"/>
      <c r="CA56" s="43"/>
      <c r="CB56" s="43"/>
      <c r="CC56" s="43"/>
      <c r="CD56" s="43"/>
      <c r="CE56" s="43"/>
      <c r="CF56" s="43"/>
      <c r="CG56" s="43"/>
      <c r="CH56" s="43"/>
      <c r="CI56" s="43"/>
      <c r="CJ56" s="43"/>
      <c r="CK56" s="43"/>
      <c r="CL56" s="43"/>
      <c r="CM56" s="43"/>
      <c r="CN56" s="43"/>
      <c r="CO56" s="43"/>
      <c r="CP56" s="43"/>
      <c r="CQ56" s="43"/>
      <c r="CR56" s="43"/>
      <c r="CS56" s="43"/>
      <c r="CT56" s="43"/>
      <c r="CU56" s="43"/>
      <c r="CV56" s="43"/>
      <c r="CW56" s="43"/>
      <c r="CX56" s="43"/>
      <c r="CY56" s="43"/>
      <c r="CZ56" s="44"/>
      <c r="DA56" s="32"/>
      <c r="DB56" s="32"/>
      <c r="DC56" s="32"/>
      <c r="DD56" s="32"/>
      <c r="DE56" s="32"/>
      <c r="DF56" s="32"/>
      <c r="DG56" s="32"/>
      <c r="DH56" s="32"/>
      <c r="DI56" s="32"/>
    </row>
    <row r="57" ht="30.0" customHeight="1">
      <c r="A57" s="8"/>
      <c r="B57" s="61" t="s">
        <v>80</v>
      </c>
      <c r="C57" s="62" t="s">
        <v>24</v>
      </c>
      <c r="D57" s="63">
        <v>0.95</v>
      </c>
      <c r="E57" s="65">
        <v>46120.0</v>
      </c>
      <c r="F57" s="65">
        <v>46192.0</v>
      </c>
      <c r="G57" s="37"/>
      <c r="H57" s="37" t="str">
        <f>IF(OR(ISBLANK(ProjectSchedule!task_start),ISBLANK(ProjectSchedule!task_end)),"",ProjectSchedule!task_end-ProjectSchedule!task_start+1)</f>
        <v/>
      </c>
      <c r="I57" s="32"/>
      <c r="J57" s="32"/>
      <c r="K57" s="32"/>
      <c r="L57" s="32"/>
      <c r="M57" s="32"/>
      <c r="N57" s="32"/>
      <c r="O57" s="32"/>
      <c r="P57" s="32"/>
      <c r="Q57" s="32"/>
      <c r="R57" s="32"/>
      <c r="S57" s="32"/>
      <c r="T57" s="32"/>
      <c r="U57" s="32"/>
      <c r="V57" s="32"/>
      <c r="W57" s="32"/>
      <c r="X57" s="32"/>
      <c r="Y57" s="32"/>
      <c r="Z57" s="32"/>
      <c r="AA57" s="32"/>
      <c r="AB57" s="32"/>
      <c r="AC57" s="32"/>
      <c r="AD57" s="32"/>
      <c r="AE57" s="32"/>
      <c r="AF57" s="66"/>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c r="BF57" s="43"/>
      <c r="BG57" s="43"/>
      <c r="BH57" s="43"/>
      <c r="BI57" s="43"/>
      <c r="BJ57" s="43"/>
      <c r="BK57" s="43"/>
      <c r="BL57" s="43"/>
      <c r="BM57" s="43"/>
      <c r="BN57" s="43"/>
      <c r="BO57" s="43"/>
      <c r="BP57" s="43"/>
      <c r="BQ57" s="43"/>
      <c r="BR57" s="43"/>
      <c r="BS57" s="43"/>
      <c r="BT57" s="43"/>
      <c r="BU57" s="43"/>
      <c r="BV57" s="43"/>
      <c r="BW57" s="43"/>
      <c r="BX57" s="43"/>
      <c r="BY57" s="43"/>
      <c r="BZ57" s="43"/>
      <c r="CA57" s="43"/>
      <c r="CB57" s="43"/>
      <c r="CC57" s="43"/>
      <c r="CD57" s="43"/>
      <c r="CE57" s="43"/>
      <c r="CF57" s="43"/>
      <c r="CG57" s="43"/>
      <c r="CH57" s="43"/>
      <c r="CI57" s="43"/>
      <c r="CJ57" s="43"/>
      <c r="CK57" s="43"/>
      <c r="CL57" s="43"/>
      <c r="CM57" s="43"/>
      <c r="CN57" s="43"/>
      <c r="CO57" s="43"/>
      <c r="CP57" s="43"/>
      <c r="CQ57" s="43"/>
      <c r="CR57" s="43"/>
      <c r="CS57" s="43"/>
      <c r="CT57" s="43"/>
      <c r="CU57" s="43"/>
      <c r="CV57" s="43"/>
      <c r="CW57" s="43"/>
      <c r="CX57" s="43"/>
      <c r="CY57" s="43"/>
      <c r="CZ57" s="44"/>
      <c r="DA57" s="32"/>
      <c r="DB57" s="32"/>
      <c r="DC57" s="32"/>
      <c r="DD57" s="32"/>
      <c r="DE57" s="32"/>
      <c r="DF57" s="32"/>
      <c r="DG57" s="32"/>
      <c r="DH57" s="32"/>
      <c r="DI57" s="32"/>
    </row>
    <row r="58" ht="30.0" customHeight="1">
      <c r="A58" s="8"/>
      <c r="B58" s="61" t="s">
        <v>81</v>
      </c>
      <c r="C58" s="62" t="s">
        <v>24</v>
      </c>
      <c r="D58" s="63">
        <v>0.95</v>
      </c>
      <c r="E58" s="65">
        <v>46180.0</v>
      </c>
      <c r="F58" s="65">
        <v>46192.0</v>
      </c>
      <c r="G58" s="37"/>
      <c r="H58" s="37" t="str">
        <f>IF(OR(ISBLANK(ProjectSchedule!task_start),ISBLANK(ProjectSchedule!task_end)),"",ProjectSchedule!task_end-ProjectSchedule!task_start+1)</f>
        <v/>
      </c>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66"/>
      <c r="CO58" s="43"/>
      <c r="CP58" s="43"/>
      <c r="CQ58" s="43"/>
      <c r="CR58" s="43"/>
      <c r="CS58" s="43"/>
      <c r="CT58" s="43"/>
      <c r="CU58" s="43"/>
      <c r="CV58" s="43"/>
      <c r="CW58" s="43"/>
      <c r="CX58" s="43"/>
      <c r="CY58" s="43"/>
      <c r="CZ58" s="44"/>
      <c r="DA58" s="32"/>
      <c r="DB58" s="32"/>
      <c r="DC58" s="32"/>
      <c r="DD58" s="32"/>
      <c r="DE58" s="32"/>
      <c r="DF58" s="32"/>
      <c r="DG58" s="32"/>
      <c r="DH58" s="32"/>
      <c r="DI58" s="32"/>
    </row>
    <row r="59" ht="30.0" customHeight="1">
      <c r="A59" s="8"/>
      <c r="B59" s="61" t="s">
        <v>82</v>
      </c>
      <c r="C59" s="62" t="s">
        <v>24</v>
      </c>
      <c r="D59" s="63">
        <v>1.0</v>
      </c>
      <c r="E59" s="65">
        <v>46170.0</v>
      </c>
      <c r="F59" s="65">
        <v>46172.0</v>
      </c>
      <c r="G59" s="37"/>
      <c r="H59" s="37" t="str">
        <f>IF(OR(ISBLANK(ProjectSchedule!task_start),ISBLANK(ProjectSchedule!task_end)),"",ProjectSchedule!task_end-ProjectSchedule!task_start+1)</f>
        <v/>
      </c>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66"/>
      <c r="CE59" s="43"/>
      <c r="CF59" s="44"/>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row>
    <row r="60" ht="30.0" customHeight="1">
      <c r="A60" s="8"/>
      <c r="B60" s="61" t="s">
        <v>83</v>
      </c>
      <c r="C60" s="62" t="s">
        <v>29</v>
      </c>
      <c r="D60" s="63">
        <v>0.95</v>
      </c>
      <c r="E60" s="65">
        <v>46175.0</v>
      </c>
      <c r="F60" s="65">
        <v>46192.0</v>
      </c>
      <c r="G60" s="37"/>
      <c r="H60" s="37" t="str">
        <f>IF(OR(ISBLANK(ProjectSchedule!task_start),ISBLANK(ProjectSchedule!task_end)),"",ProjectSchedule!task_end-ProjectSchedule!task_start+1)</f>
        <v/>
      </c>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66"/>
      <c r="CJ60" s="43"/>
      <c r="CK60" s="43"/>
      <c r="CL60" s="43"/>
      <c r="CM60" s="43"/>
      <c r="CN60" s="43"/>
      <c r="CO60" s="43"/>
      <c r="CP60" s="43"/>
      <c r="CQ60" s="43"/>
      <c r="CR60" s="43"/>
      <c r="CS60" s="43"/>
      <c r="CT60" s="43"/>
      <c r="CU60" s="43"/>
      <c r="CV60" s="43"/>
      <c r="CW60" s="43"/>
      <c r="CX60" s="43"/>
      <c r="CY60" s="43"/>
      <c r="CZ60" s="44"/>
      <c r="DA60" s="32"/>
      <c r="DB60" s="32"/>
      <c r="DC60" s="32"/>
      <c r="DD60" s="32"/>
      <c r="DE60" s="32"/>
      <c r="DF60" s="32"/>
      <c r="DG60" s="32"/>
      <c r="DH60" s="32"/>
      <c r="DI60" s="32"/>
    </row>
    <row r="61" ht="30.0" customHeight="1">
      <c r="A61" s="8"/>
      <c r="B61" s="61" t="s">
        <v>84</v>
      </c>
      <c r="C61" s="62" t="s">
        <v>24</v>
      </c>
      <c r="D61" s="63">
        <v>1.0</v>
      </c>
      <c r="E61" s="65">
        <v>46167.0</v>
      </c>
      <c r="F61" s="65">
        <v>46175.0</v>
      </c>
      <c r="G61" s="37"/>
      <c r="H61" s="37"/>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66"/>
      <c r="CB61" s="43"/>
      <c r="CC61" s="43"/>
      <c r="CD61" s="43"/>
      <c r="CE61" s="43"/>
      <c r="CF61" s="43"/>
      <c r="CG61" s="43"/>
      <c r="CH61" s="43"/>
      <c r="CI61" s="44"/>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row>
    <row r="62" ht="30.0" customHeight="1">
      <c r="A62" s="8"/>
      <c r="B62" s="61" t="s">
        <v>85</v>
      </c>
      <c r="C62" s="62" t="s">
        <v>29</v>
      </c>
      <c r="D62" s="63">
        <v>1.0</v>
      </c>
      <c r="E62" s="65">
        <v>46181.0</v>
      </c>
      <c r="F62" s="65">
        <v>46185.0</v>
      </c>
      <c r="G62" s="37"/>
      <c r="H62" s="37"/>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66"/>
      <c r="CP62" s="43"/>
      <c r="CQ62" s="43"/>
      <c r="CR62" s="43"/>
      <c r="CS62" s="44"/>
      <c r="CT62" s="32"/>
      <c r="CU62" s="32"/>
      <c r="CV62" s="32"/>
      <c r="CW62" s="32"/>
      <c r="CX62" s="32"/>
      <c r="CY62" s="32"/>
      <c r="CZ62" s="32"/>
      <c r="DA62" s="32"/>
      <c r="DB62" s="32"/>
      <c r="DC62" s="32"/>
      <c r="DD62" s="32"/>
      <c r="DE62" s="32"/>
      <c r="DF62" s="32"/>
      <c r="DG62" s="32"/>
      <c r="DH62" s="32"/>
      <c r="DI62" s="32"/>
    </row>
    <row r="63" ht="30.0" customHeight="1">
      <c r="A63" s="8"/>
      <c r="B63" s="61" t="s">
        <v>86</v>
      </c>
      <c r="C63" s="62" t="s">
        <v>29</v>
      </c>
      <c r="D63" s="63">
        <v>1.0</v>
      </c>
      <c r="E63" s="65">
        <v>46181.0</v>
      </c>
      <c r="F63" s="65">
        <v>46185.0</v>
      </c>
      <c r="G63" s="37"/>
      <c r="H63" s="37"/>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66"/>
      <c r="CP63" s="43"/>
      <c r="CQ63" s="43"/>
      <c r="CR63" s="43"/>
      <c r="CS63" s="44"/>
      <c r="CT63" s="32"/>
      <c r="CU63" s="32"/>
      <c r="CV63" s="32"/>
      <c r="CW63" s="32"/>
      <c r="CX63" s="32"/>
      <c r="CY63" s="32"/>
      <c r="CZ63" s="32"/>
      <c r="DA63" s="32"/>
      <c r="DB63" s="32"/>
      <c r="DC63" s="32"/>
      <c r="DD63" s="32"/>
      <c r="DE63" s="32"/>
      <c r="DF63" s="32"/>
      <c r="DG63" s="32"/>
      <c r="DH63" s="32"/>
      <c r="DI63" s="32"/>
    </row>
    <row r="64" ht="30.0" customHeight="1">
      <c r="A64" s="8"/>
      <c r="B64" s="61" t="s">
        <v>87</v>
      </c>
      <c r="C64" s="62" t="s">
        <v>24</v>
      </c>
      <c r="D64" s="63">
        <v>1.0</v>
      </c>
      <c r="E64" s="65">
        <v>46182.0</v>
      </c>
      <c r="F64" s="65">
        <v>46186.0</v>
      </c>
      <c r="G64" s="37"/>
      <c r="H64" s="37"/>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66"/>
      <c r="CQ64" s="43"/>
      <c r="CR64" s="43"/>
      <c r="CS64" s="43"/>
      <c r="CT64" s="44"/>
      <c r="CU64" s="32"/>
      <c r="CV64" s="32"/>
      <c r="CW64" s="32"/>
      <c r="CX64" s="32"/>
      <c r="CY64" s="32"/>
      <c r="CZ64" s="32"/>
      <c r="DA64" s="32"/>
      <c r="DB64" s="32"/>
      <c r="DC64" s="32"/>
      <c r="DD64" s="32"/>
      <c r="DE64" s="32"/>
      <c r="DF64" s="32"/>
      <c r="DG64" s="32"/>
      <c r="DH64" s="32"/>
      <c r="DI64" s="32"/>
    </row>
    <row r="65" ht="30.0" customHeight="1">
      <c r="A65" s="8"/>
      <c r="B65" s="61" t="s">
        <v>88</v>
      </c>
      <c r="C65" s="62" t="s">
        <v>24</v>
      </c>
      <c r="D65" s="63">
        <v>1.0</v>
      </c>
      <c r="E65" s="65">
        <v>46162.0</v>
      </c>
      <c r="F65" s="65">
        <v>46166.0</v>
      </c>
      <c r="G65" s="37"/>
      <c r="H65" s="37"/>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66"/>
      <c r="BW65" s="43"/>
      <c r="BX65" s="43"/>
      <c r="BY65" s="43"/>
      <c r="BZ65" s="44"/>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row>
    <row r="66" ht="30.0" customHeight="1">
      <c r="A66" s="8"/>
      <c r="B66" s="61" t="s">
        <v>89</v>
      </c>
      <c r="C66" s="62" t="s">
        <v>24</v>
      </c>
      <c r="D66" s="63">
        <v>1.0</v>
      </c>
      <c r="E66" s="65">
        <v>46100.0</v>
      </c>
      <c r="F66" s="65">
        <v>46191.0</v>
      </c>
      <c r="G66" s="37"/>
      <c r="H66" s="37"/>
      <c r="I66" s="32"/>
      <c r="J66" s="32"/>
      <c r="K66" s="32"/>
      <c r="L66" s="66"/>
      <c r="M66" s="43"/>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c r="BH66" s="43"/>
      <c r="BI66" s="43"/>
      <c r="BJ66" s="43"/>
      <c r="BK66" s="43"/>
      <c r="BL66" s="43"/>
      <c r="BM66" s="43"/>
      <c r="BN66" s="43"/>
      <c r="BO66" s="43"/>
      <c r="BP66" s="43"/>
      <c r="BQ66" s="43"/>
      <c r="BR66" s="43"/>
      <c r="BS66" s="43"/>
      <c r="BT66" s="43"/>
      <c r="BU66" s="43"/>
      <c r="BV66" s="43"/>
      <c r="BW66" s="43"/>
      <c r="BX66" s="43"/>
      <c r="BY66" s="43"/>
      <c r="BZ66" s="43"/>
      <c r="CA66" s="43"/>
      <c r="CB66" s="43"/>
      <c r="CC66" s="43"/>
      <c r="CD66" s="43"/>
      <c r="CE66" s="43"/>
      <c r="CF66" s="43"/>
      <c r="CG66" s="43"/>
      <c r="CH66" s="43"/>
      <c r="CI66" s="43"/>
      <c r="CJ66" s="43"/>
      <c r="CK66" s="43"/>
      <c r="CL66" s="43"/>
      <c r="CM66" s="43"/>
      <c r="CN66" s="43"/>
      <c r="CO66" s="43"/>
      <c r="CP66" s="43"/>
      <c r="CQ66" s="43"/>
      <c r="CR66" s="43"/>
      <c r="CS66" s="43"/>
      <c r="CT66" s="43"/>
      <c r="CU66" s="43"/>
      <c r="CV66" s="43"/>
      <c r="CW66" s="43"/>
      <c r="CX66" s="43"/>
      <c r="CY66" s="44"/>
      <c r="CZ66" s="32"/>
      <c r="DA66" s="32"/>
      <c r="DB66" s="32"/>
      <c r="DC66" s="32"/>
      <c r="DD66" s="32"/>
      <c r="DE66" s="32"/>
      <c r="DF66" s="32"/>
      <c r="DG66" s="32"/>
      <c r="DH66" s="32"/>
      <c r="DI66" s="32"/>
    </row>
    <row r="67" ht="30.0" customHeight="1">
      <c r="A67" s="8" t="s">
        <v>77</v>
      </c>
      <c r="B67" s="67" t="s">
        <v>90</v>
      </c>
      <c r="C67" s="68"/>
      <c r="D67" s="69"/>
      <c r="E67" s="70"/>
      <c r="F67" s="70"/>
      <c r="G67" s="37"/>
      <c r="H67" s="37" t="str">
        <f>IF(OR(ISBLANK(ProjectSchedule!task_start),ISBLANK(ProjectSchedule!task_end)),"",ProjectSchedule!task_end-ProjectSchedule!task_start+1)</f>
        <v/>
      </c>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row>
    <row r="68" ht="30.0" customHeight="1">
      <c r="A68" s="8"/>
      <c r="B68" s="71" t="s">
        <v>91</v>
      </c>
      <c r="C68" s="72"/>
      <c r="D68" s="73"/>
      <c r="E68" s="74"/>
      <c r="F68" s="74"/>
      <c r="G68" s="37"/>
      <c r="H68" s="37" t="str">
        <f>IF(OR(ISBLANK(ProjectSchedule!task_start),ISBLANK(ProjectSchedule!task_end)),"",ProjectSchedule!task_end-ProjectSchedule!task_start+1)</f>
        <v/>
      </c>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row>
    <row r="69" ht="30.0" customHeight="1">
      <c r="A69" s="8"/>
      <c r="B69" s="71" t="s">
        <v>92</v>
      </c>
      <c r="C69" s="72"/>
      <c r="D69" s="73"/>
      <c r="E69" s="74"/>
      <c r="F69" s="74"/>
      <c r="G69" s="37"/>
      <c r="H69" s="37" t="str">
        <f>IF(OR(ISBLANK(ProjectSchedule!task_start),ISBLANK(ProjectSchedule!task_end)),"",ProjectSchedule!task_end-ProjectSchedule!task_start+1)</f>
        <v/>
      </c>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row>
    <row r="70" ht="30.0" customHeight="1">
      <c r="A70" s="8"/>
      <c r="B70" s="71" t="s">
        <v>93</v>
      </c>
      <c r="C70" s="72"/>
      <c r="D70" s="73"/>
      <c r="E70" s="74"/>
      <c r="F70" s="74"/>
      <c r="G70" s="37"/>
      <c r="H70" s="37" t="str">
        <f>IF(OR(ISBLANK(ProjectSchedule!task_start),ISBLANK(ProjectSchedule!task_end)),"",ProjectSchedule!task_end-ProjectSchedule!task_start+1)</f>
        <v/>
      </c>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row>
    <row r="71" ht="30.0" customHeight="1">
      <c r="A71" s="8"/>
      <c r="B71" s="75"/>
      <c r="C71" s="72"/>
      <c r="D71" s="73"/>
      <c r="E71" s="74"/>
      <c r="F71" s="74"/>
      <c r="G71" s="37"/>
      <c r="H71" s="37" t="str">
        <f>IF(OR(ISBLANK(ProjectSchedule!task_start),ISBLANK(ProjectSchedule!task_end)),"",ProjectSchedule!task_end-ProjectSchedule!task_start+1)</f>
        <v/>
      </c>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row>
    <row r="72" ht="30.0" customHeight="1">
      <c r="A72" s="8"/>
      <c r="B72" s="75"/>
      <c r="C72" s="72"/>
      <c r="D72" s="73"/>
      <c r="E72" s="74"/>
      <c r="F72" s="74"/>
      <c r="G72" s="37"/>
      <c r="H72" s="37" t="str">
        <f>IF(OR(ISBLANK(ProjectSchedule!task_start),ISBLANK(ProjectSchedule!task_end)),"",ProjectSchedule!task_end-ProjectSchedule!task_start+1)</f>
        <v/>
      </c>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2"/>
      <c r="CZ72" s="32"/>
      <c r="DA72" s="32"/>
      <c r="DB72" s="32"/>
      <c r="DC72" s="32"/>
      <c r="DD72" s="32"/>
      <c r="DE72" s="32"/>
      <c r="DF72" s="32"/>
      <c r="DG72" s="32"/>
      <c r="DH72" s="32"/>
      <c r="DI72" s="32"/>
    </row>
    <row r="73" ht="30.0" customHeight="1">
      <c r="A73" s="8" t="s">
        <v>94</v>
      </c>
      <c r="B73" s="76"/>
      <c r="C73" s="37"/>
      <c r="D73" s="77"/>
      <c r="E73" s="78"/>
      <c r="F73" s="78"/>
      <c r="G73" s="37"/>
      <c r="H73" s="37" t="str">
        <f>IF(OR(ISBLANK(ProjectSchedule!task_start),ISBLANK(ProjectSchedule!task_end)),"",ProjectSchedule!task_end-ProjectSchedule!task_start+1)</f>
        <v/>
      </c>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row>
    <row r="74" ht="30.0" customHeight="1">
      <c r="A74" s="17" t="s">
        <v>95</v>
      </c>
      <c r="B74" s="79" t="s">
        <v>96</v>
      </c>
      <c r="C74" s="80"/>
      <c r="D74" s="81"/>
      <c r="E74" s="82"/>
      <c r="F74" s="83"/>
      <c r="G74" s="84"/>
      <c r="H74" s="84" t="str">
        <f>IF(OR(ISBLANK(ProjectSchedule!task_start),ISBLANK(ProjectSchedule!task_end)),"",ProjectSchedule!task_end-ProjectSchedule!task_start+1)</f>
        <v/>
      </c>
      <c r="I74" s="85"/>
      <c r="J74" s="85"/>
      <c r="K74" s="85"/>
      <c r="L74" s="85"/>
      <c r="M74" s="85"/>
      <c r="N74" s="85"/>
      <c r="O74" s="85"/>
      <c r="P74" s="85"/>
      <c r="Q74" s="85"/>
      <c r="R74" s="85"/>
      <c r="S74" s="85"/>
      <c r="T74" s="85"/>
      <c r="U74" s="85"/>
      <c r="V74" s="85"/>
      <c r="W74" s="85"/>
      <c r="X74" s="85"/>
      <c r="Y74" s="85"/>
      <c r="Z74" s="85"/>
      <c r="AA74" s="85"/>
      <c r="AB74" s="85"/>
      <c r="AC74" s="85"/>
      <c r="AD74" s="85"/>
      <c r="AE74" s="85"/>
      <c r="AF74" s="85"/>
      <c r="AG74" s="85"/>
      <c r="AH74" s="85"/>
      <c r="AI74" s="85"/>
      <c r="AJ74" s="85"/>
      <c r="AK74" s="85"/>
      <c r="AL74" s="85"/>
      <c r="AM74" s="85"/>
      <c r="AN74" s="85"/>
      <c r="AO74" s="85"/>
      <c r="AP74" s="85"/>
      <c r="AQ74" s="85"/>
      <c r="AR74" s="85"/>
      <c r="AS74" s="85"/>
      <c r="AT74" s="85"/>
      <c r="AU74" s="85"/>
      <c r="AV74" s="85"/>
      <c r="AW74" s="85"/>
      <c r="AX74" s="85"/>
      <c r="AY74" s="85"/>
      <c r="AZ74" s="85"/>
      <c r="BA74" s="85"/>
      <c r="BB74" s="85"/>
      <c r="BC74" s="85"/>
      <c r="BD74" s="85"/>
      <c r="BE74" s="85"/>
      <c r="BF74" s="85"/>
      <c r="BG74" s="85"/>
      <c r="BH74" s="85"/>
      <c r="BI74" s="85"/>
      <c r="BJ74" s="85"/>
      <c r="BK74" s="85"/>
      <c r="BL74" s="85"/>
      <c r="BM74" s="85"/>
      <c r="BN74" s="85"/>
      <c r="BO74" s="85"/>
      <c r="BP74" s="85"/>
      <c r="BQ74" s="85"/>
      <c r="BR74" s="85"/>
      <c r="BS74" s="85"/>
      <c r="BT74" s="85"/>
      <c r="BU74" s="85"/>
      <c r="BV74" s="85"/>
      <c r="BW74" s="85"/>
      <c r="BX74" s="85"/>
      <c r="BY74" s="85"/>
      <c r="BZ74" s="85"/>
      <c r="CA74" s="85"/>
      <c r="CB74" s="85"/>
      <c r="CC74" s="85"/>
      <c r="CD74" s="85"/>
      <c r="CE74" s="85"/>
      <c r="CF74" s="85"/>
      <c r="CG74" s="85"/>
      <c r="CH74" s="85"/>
      <c r="CI74" s="85"/>
      <c r="CJ74" s="85"/>
      <c r="CK74" s="85"/>
      <c r="CL74" s="85"/>
      <c r="CM74" s="85"/>
      <c r="CN74" s="85"/>
      <c r="CO74" s="85"/>
      <c r="CP74" s="85"/>
      <c r="CQ74" s="85"/>
      <c r="CR74" s="85"/>
      <c r="CS74" s="85"/>
      <c r="CT74" s="85"/>
      <c r="CU74" s="85"/>
      <c r="CV74" s="85"/>
      <c r="CW74" s="85"/>
      <c r="CX74" s="85"/>
      <c r="CY74" s="85"/>
      <c r="CZ74" s="85"/>
      <c r="DA74" s="85"/>
      <c r="DB74" s="85"/>
      <c r="DC74" s="85"/>
      <c r="DD74" s="85"/>
      <c r="DE74" s="85"/>
      <c r="DF74" s="85"/>
      <c r="DG74" s="85"/>
      <c r="DH74" s="85"/>
      <c r="DI74" s="85"/>
    </row>
    <row r="75" ht="30.0" customHeight="1">
      <c r="A75" s="8"/>
      <c r="E75" s="10"/>
      <c r="G75" s="86"/>
    </row>
    <row r="76" ht="30.0" customHeight="1">
      <c r="A76" s="8"/>
      <c r="C76" s="87"/>
      <c r="E76" s="10"/>
      <c r="F76" s="88"/>
    </row>
    <row r="77" ht="30.0" customHeight="1">
      <c r="A77" s="8"/>
      <c r="C77" s="89"/>
      <c r="E77" s="10"/>
    </row>
    <row r="78" ht="30.0" customHeight="1">
      <c r="A78" s="8"/>
      <c r="E78" s="10"/>
    </row>
    <row r="79" ht="30.0" customHeight="1">
      <c r="A79" s="8"/>
      <c r="E79" s="10"/>
    </row>
    <row r="80" ht="30.0" customHeight="1">
      <c r="A80" s="8"/>
      <c r="E80" s="10"/>
    </row>
    <row r="81" ht="30.0" customHeight="1">
      <c r="A81" s="8"/>
      <c r="E81" s="10"/>
    </row>
    <row r="82" ht="30.0" customHeight="1">
      <c r="A82" s="8"/>
      <c r="E82" s="10"/>
    </row>
    <row r="83" ht="30.0" customHeight="1">
      <c r="A83" s="8"/>
      <c r="E83" s="10"/>
    </row>
    <row r="84" ht="30.0" customHeight="1">
      <c r="A84" s="8"/>
      <c r="E84" s="10"/>
    </row>
    <row r="85" ht="30.0" customHeight="1">
      <c r="A85" s="8"/>
      <c r="E85" s="10"/>
    </row>
    <row r="86" ht="30.0" customHeight="1">
      <c r="A86" s="8"/>
      <c r="E86" s="10"/>
    </row>
    <row r="87" ht="30.0" customHeight="1">
      <c r="A87" s="8"/>
      <c r="E87" s="10"/>
    </row>
    <row r="88" ht="30.0" customHeight="1">
      <c r="A88" s="8"/>
      <c r="E88" s="10"/>
    </row>
    <row r="89" ht="30.0" customHeight="1">
      <c r="A89" s="8"/>
      <c r="E89" s="10"/>
    </row>
    <row r="90" ht="30.0" customHeight="1">
      <c r="A90" s="8"/>
      <c r="E90" s="10"/>
    </row>
    <row r="91" ht="30.0" customHeight="1">
      <c r="A91" s="8"/>
      <c r="E91" s="10"/>
    </row>
    <row r="92" ht="30.0" customHeight="1">
      <c r="A92" s="8"/>
      <c r="E92" s="10"/>
    </row>
    <row r="93" ht="30.0" customHeight="1">
      <c r="A93" s="8"/>
      <c r="E93" s="10"/>
    </row>
    <row r="94" ht="30.0" customHeight="1">
      <c r="A94" s="8"/>
      <c r="E94" s="10"/>
    </row>
    <row r="95" ht="30.0" customHeight="1">
      <c r="A95" s="8"/>
      <c r="E95" s="10"/>
    </row>
    <row r="96" ht="30.0" customHeight="1">
      <c r="A96" s="8"/>
      <c r="E96" s="10"/>
    </row>
    <row r="97" ht="30.0" customHeight="1">
      <c r="A97" s="8"/>
      <c r="E97" s="10"/>
    </row>
    <row r="98" ht="30.0" customHeight="1">
      <c r="A98" s="8"/>
      <c r="E98" s="10"/>
    </row>
    <row r="99" ht="30.0" customHeight="1">
      <c r="A99" s="8"/>
      <c r="E99" s="10"/>
    </row>
    <row r="100" ht="30.0" customHeight="1">
      <c r="A100" s="8"/>
      <c r="E100" s="10"/>
    </row>
    <row r="101" ht="30.0" customHeight="1">
      <c r="A101" s="8"/>
      <c r="E101" s="10"/>
    </row>
    <row r="102" ht="30.0" customHeight="1">
      <c r="A102" s="8"/>
      <c r="E102" s="10"/>
    </row>
    <row r="103" ht="30.0" customHeight="1">
      <c r="A103" s="8"/>
      <c r="E103" s="10"/>
    </row>
    <row r="104" ht="30.0" customHeight="1">
      <c r="A104" s="8"/>
      <c r="E104" s="10"/>
    </row>
    <row r="105" ht="30.0" customHeight="1">
      <c r="A105" s="8"/>
      <c r="E105" s="10"/>
    </row>
    <row r="106" ht="30.0" customHeight="1">
      <c r="A106" s="8"/>
      <c r="E106" s="10"/>
    </row>
    <row r="107" ht="30.0" customHeight="1">
      <c r="A107" s="8"/>
      <c r="E107" s="10"/>
    </row>
    <row r="108" ht="30.0" customHeight="1">
      <c r="A108" s="8"/>
      <c r="E108" s="10"/>
    </row>
    <row r="109" ht="30.0" customHeight="1">
      <c r="A109" s="8"/>
      <c r="E109" s="10"/>
    </row>
    <row r="110" ht="30.0" customHeight="1">
      <c r="A110" s="8"/>
      <c r="E110" s="10"/>
    </row>
    <row r="111" ht="30.0" customHeight="1">
      <c r="A111" s="8"/>
      <c r="E111" s="10"/>
    </row>
    <row r="112" ht="30.0" customHeight="1">
      <c r="A112" s="8"/>
      <c r="E112" s="10"/>
    </row>
    <row r="113" ht="30.0" customHeight="1">
      <c r="A113" s="8"/>
      <c r="E113" s="10"/>
    </row>
    <row r="114" ht="30.0" customHeight="1">
      <c r="A114" s="8"/>
      <c r="E114" s="10"/>
    </row>
    <row r="115" ht="30.0" customHeight="1">
      <c r="A115" s="8"/>
      <c r="E115" s="10"/>
    </row>
    <row r="116" ht="30.0" customHeight="1">
      <c r="A116" s="8"/>
      <c r="E116" s="10"/>
    </row>
    <row r="117" ht="30.0" customHeight="1">
      <c r="A117" s="8"/>
      <c r="E117" s="10"/>
    </row>
    <row r="118" ht="30.0" customHeight="1">
      <c r="A118" s="8"/>
      <c r="E118" s="10"/>
    </row>
    <row r="119" ht="30.0" customHeight="1">
      <c r="A119" s="8"/>
      <c r="E119" s="10"/>
    </row>
    <row r="120" ht="30.0" customHeight="1">
      <c r="A120" s="8"/>
      <c r="E120" s="10"/>
    </row>
    <row r="121" ht="30.0" customHeight="1">
      <c r="A121" s="8"/>
      <c r="E121" s="10"/>
    </row>
    <row r="122" ht="30.0" customHeight="1">
      <c r="A122" s="8"/>
      <c r="E122" s="10"/>
    </row>
    <row r="123" ht="30.0" customHeight="1">
      <c r="A123" s="8"/>
      <c r="E123" s="10"/>
    </row>
    <row r="124" ht="30.0" customHeight="1">
      <c r="A124" s="8"/>
      <c r="E124" s="10"/>
    </row>
    <row r="125" ht="30.0" customHeight="1">
      <c r="A125" s="8"/>
      <c r="E125" s="10"/>
    </row>
    <row r="126" ht="30.0" customHeight="1">
      <c r="A126" s="8"/>
      <c r="E126" s="10"/>
    </row>
    <row r="127" ht="30.0" customHeight="1">
      <c r="A127" s="8"/>
      <c r="E127" s="10"/>
    </row>
    <row r="128" ht="30.0" customHeight="1">
      <c r="A128" s="8"/>
      <c r="E128" s="10"/>
    </row>
    <row r="129" ht="30.0" customHeight="1">
      <c r="A129" s="8"/>
      <c r="E129" s="10"/>
    </row>
    <row r="130" ht="30.0" customHeight="1">
      <c r="A130" s="8"/>
      <c r="E130" s="10"/>
    </row>
    <row r="131" ht="30.0" customHeight="1">
      <c r="A131" s="8"/>
      <c r="E131" s="10"/>
    </row>
    <row r="132" ht="30.0" customHeight="1">
      <c r="A132" s="8"/>
      <c r="E132" s="10"/>
    </row>
    <row r="133" ht="30.0" customHeight="1">
      <c r="A133" s="8"/>
      <c r="E133" s="10"/>
    </row>
    <row r="134" ht="30.0" customHeight="1">
      <c r="A134" s="8"/>
      <c r="E134" s="10"/>
    </row>
    <row r="135" ht="30.0" customHeight="1">
      <c r="A135" s="8"/>
      <c r="E135" s="10"/>
    </row>
    <row r="136" ht="30.0" customHeight="1">
      <c r="A136" s="8"/>
      <c r="E136" s="10"/>
    </row>
    <row r="137" ht="30.0" customHeight="1">
      <c r="A137" s="8"/>
      <c r="E137" s="10"/>
    </row>
    <row r="138" ht="30.0" customHeight="1">
      <c r="A138" s="8"/>
      <c r="E138" s="10"/>
    </row>
    <row r="139" ht="30.0" customHeight="1">
      <c r="A139" s="8"/>
      <c r="E139" s="10"/>
    </row>
    <row r="140" ht="30.0" customHeight="1">
      <c r="A140" s="8"/>
      <c r="E140" s="10"/>
    </row>
    <row r="141" ht="30.0" customHeight="1">
      <c r="A141" s="8"/>
      <c r="E141" s="10"/>
    </row>
    <row r="142" ht="30.0" customHeight="1">
      <c r="A142" s="8"/>
      <c r="E142" s="10"/>
    </row>
    <row r="143" ht="30.0" customHeight="1">
      <c r="A143" s="8"/>
      <c r="E143" s="10"/>
    </row>
    <row r="144" ht="30.0" customHeight="1">
      <c r="A144" s="8"/>
      <c r="E144" s="10"/>
    </row>
    <row r="145" ht="30.0" customHeight="1">
      <c r="A145" s="8"/>
      <c r="E145" s="10"/>
    </row>
    <row r="146" ht="30.0" customHeight="1">
      <c r="A146" s="8"/>
      <c r="E146" s="10"/>
    </row>
    <row r="147" ht="30.0" customHeight="1">
      <c r="A147" s="8"/>
      <c r="E147" s="10"/>
    </row>
    <row r="148" ht="30.0" customHeight="1">
      <c r="A148" s="8"/>
      <c r="E148" s="10"/>
    </row>
    <row r="149" ht="30.0" customHeight="1">
      <c r="A149" s="8"/>
      <c r="E149" s="10"/>
    </row>
    <row r="150" ht="30.0" customHeight="1">
      <c r="A150" s="8"/>
      <c r="E150" s="10"/>
    </row>
    <row r="151" ht="30.0" customHeight="1">
      <c r="A151" s="8"/>
      <c r="E151" s="10"/>
    </row>
    <row r="152" ht="30.0" customHeight="1">
      <c r="A152" s="8"/>
      <c r="E152" s="10"/>
    </row>
    <row r="153" ht="30.0" customHeight="1">
      <c r="A153" s="8"/>
      <c r="E153" s="10"/>
    </row>
    <row r="154" ht="30.0" customHeight="1">
      <c r="A154" s="8"/>
      <c r="E154" s="10"/>
    </row>
    <row r="155" ht="30.0" customHeight="1">
      <c r="A155" s="8"/>
      <c r="E155" s="10"/>
    </row>
    <row r="156" ht="30.0" customHeight="1">
      <c r="A156" s="8"/>
      <c r="E156" s="10"/>
    </row>
    <row r="157" ht="30.0" customHeight="1">
      <c r="A157" s="8"/>
      <c r="E157" s="10"/>
    </row>
    <row r="158" ht="30.0" customHeight="1">
      <c r="A158" s="8"/>
      <c r="E158" s="10"/>
    </row>
    <row r="159" ht="30.0" customHeight="1">
      <c r="A159" s="8"/>
      <c r="E159" s="10"/>
    </row>
    <row r="160" ht="30.0" customHeight="1">
      <c r="A160" s="8"/>
      <c r="E160" s="10"/>
    </row>
    <row r="161" ht="30.0" customHeight="1">
      <c r="A161" s="8"/>
      <c r="E161" s="10"/>
    </row>
    <row r="162" ht="30.0" customHeight="1">
      <c r="A162" s="8"/>
      <c r="E162" s="10"/>
    </row>
    <row r="163" ht="30.0" customHeight="1">
      <c r="A163" s="8"/>
      <c r="E163" s="10"/>
    </row>
    <row r="164" ht="30.0" customHeight="1">
      <c r="A164" s="8"/>
      <c r="E164" s="10"/>
    </row>
    <row r="165" ht="30.0" customHeight="1">
      <c r="A165" s="8"/>
      <c r="E165" s="10"/>
    </row>
    <row r="166" ht="30.0" customHeight="1">
      <c r="A166" s="8"/>
      <c r="E166" s="10"/>
    </row>
    <row r="167" ht="30.0" customHeight="1">
      <c r="A167" s="8"/>
      <c r="E167" s="10"/>
    </row>
    <row r="168" ht="30.0" customHeight="1">
      <c r="A168" s="8"/>
      <c r="E168" s="10"/>
    </row>
    <row r="169" ht="30.0" customHeight="1">
      <c r="A169" s="8"/>
      <c r="E169" s="10"/>
    </row>
    <row r="170" ht="30.0" customHeight="1">
      <c r="A170" s="8"/>
      <c r="E170" s="10"/>
    </row>
    <row r="171" ht="30.0" customHeight="1">
      <c r="A171" s="8"/>
      <c r="E171" s="10"/>
    </row>
    <row r="172" ht="30.0" customHeight="1">
      <c r="A172" s="8"/>
      <c r="E172" s="10"/>
    </row>
    <row r="173" ht="30.0" customHeight="1">
      <c r="A173" s="8"/>
      <c r="E173" s="10"/>
    </row>
    <row r="174" ht="30.0" customHeight="1">
      <c r="A174" s="8"/>
      <c r="E174" s="10"/>
    </row>
    <row r="175" ht="30.0" customHeight="1">
      <c r="A175" s="8"/>
      <c r="E175" s="10"/>
    </row>
    <row r="176" ht="30.0" customHeight="1">
      <c r="A176" s="8"/>
      <c r="E176" s="10"/>
    </row>
    <row r="177" ht="30.0" customHeight="1">
      <c r="A177" s="8"/>
      <c r="E177" s="10"/>
    </row>
    <row r="178" ht="30.0" customHeight="1">
      <c r="A178" s="8"/>
      <c r="E178" s="10"/>
    </row>
    <row r="179" ht="30.0" customHeight="1">
      <c r="A179" s="8"/>
      <c r="E179" s="10"/>
    </row>
    <row r="180" ht="30.0" customHeight="1">
      <c r="A180" s="8"/>
      <c r="E180" s="10"/>
    </row>
    <row r="181" ht="30.0" customHeight="1">
      <c r="A181" s="8"/>
      <c r="E181" s="10"/>
    </row>
    <row r="182" ht="30.0" customHeight="1">
      <c r="A182" s="8"/>
      <c r="E182" s="10"/>
    </row>
    <row r="183" ht="30.0" customHeight="1">
      <c r="A183" s="8"/>
      <c r="E183" s="10"/>
    </row>
    <row r="184" ht="30.0" customHeight="1">
      <c r="A184" s="8"/>
      <c r="E184" s="10"/>
    </row>
    <row r="185" ht="30.0" customHeight="1">
      <c r="A185" s="8"/>
      <c r="E185" s="10"/>
    </row>
    <row r="186" ht="30.0" customHeight="1">
      <c r="A186" s="8"/>
      <c r="E186" s="10"/>
    </row>
    <row r="187" ht="30.0" customHeight="1">
      <c r="A187" s="8"/>
      <c r="E187" s="10"/>
    </row>
    <row r="188" ht="30.0" customHeight="1">
      <c r="A188" s="8"/>
      <c r="E188" s="10"/>
    </row>
    <row r="189" ht="30.0" customHeight="1">
      <c r="A189" s="8"/>
      <c r="E189" s="10"/>
    </row>
    <row r="190" ht="30.0" customHeight="1">
      <c r="A190" s="8"/>
      <c r="E190" s="10"/>
    </row>
    <row r="191" ht="30.0" customHeight="1">
      <c r="A191" s="8"/>
      <c r="E191" s="10"/>
    </row>
    <row r="192" ht="30.0" customHeight="1">
      <c r="A192" s="8"/>
      <c r="E192" s="10"/>
    </row>
    <row r="193" ht="30.0" customHeight="1">
      <c r="A193" s="8"/>
      <c r="E193" s="10"/>
    </row>
    <row r="194" ht="30.0" customHeight="1">
      <c r="A194" s="8"/>
      <c r="E194" s="10"/>
    </row>
    <row r="195" ht="30.0" customHeight="1">
      <c r="A195" s="8"/>
      <c r="E195" s="10"/>
    </row>
    <row r="196" ht="30.0" customHeight="1">
      <c r="A196" s="8"/>
      <c r="E196" s="10"/>
    </row>
    <row r="197" ht="30.0" customHeight="1">
      <c r="A197" s="8"/>
      <c r="E197" s="10"/>
    </row>
    <row r="198" ht="30.0" customHeight="1">
      <c r="A198" s="8"/>
      <c r="E198" s="10"/>
    </row>
    <row r="199" ht="30.0" customHeight="1">
      <c r="A199" s="8"/>
      <c r="E199" s="10"/>
    </row>
    <row r="200" ht="30.0" customHeight="1">
      <c r="A200" s="8"/>
      <c r="E200" s="10"/>
    </row>
    <row r="201" ht="30.0" customHeight="1">
      <c r="A201" s="8"/>
      <c r="E201" s="10"/>
    </row>
    <row r="202" ht="30.0" customHeight="1">
      <c r="A202" s="8"/>
      <c r="E202" s="10"/>
    </row>
    <row r="203" ht="30.0" customHeight="1">
      <c r="A203" s="8"/>
      <c r="E203" s="10"/>
    </row>
    <row r="204" ht="30.0" customHeight="1">
      <c r="A204" s="8"/>
      <c r="E204" s="10"/>
    </row>
    <row r="205" ht="30.0" customHeight="1">
      <c r="A205" s="8"/>
      <c r="E205" s="10"/>
    </row>
    <row r="206" ht="30.0" customHeight="1">
      <c r="A206" s="8"/>
      <c r="E206" s="10"/>
    </row>
    <row r="207" ht="30.0" customHeight="1">
      <c r="A207" s="8"/>
      <c r="E207" s="10"/>
    </row>
    <row r="208" ht="30.0" customHeight="1">
      <c r="A208" s="8"/>
      <c r="E208" s="10"/>
    </row>
    <row r="209" ht="30.0" customHeight="1">
      <c r="A209" s="8"/>
      <c r="E209" s="10"/>
    </row>
    <row r="210" ht="30.0" customHeight="1">
      <c r="A210" s="8"/>
      <c r="E210" s="10"/>
    </row>
    <row r="211" ht="30.0" customHeight="1">
      <c r="A211" s="8"/>
      <c r="E211" s="10"/>
    </row>
    <row r="212" ht="30.0" customHeight="1">
      <c r="A212" s="8"/>
      <c r="E212" s="10"/>
    </row>
    <row r="213" ht="30.0" customHeight="1">
      <c r="A213" s="8"/>
      <c r="E213" s="10"/>
    </row>
    <row r="214" ht="30.0" customHeight="1">
      <c r="A214" s="8"/>
      <c r="E214" s="10"/>
    </row>
    <row r="215" ht="30.0" customHeight="1">
      <c r="A215" s="8"/>
      <c r="E215" s="10"/>
    </row>
    <row r="216" ht="30.0" customHeight="1">
      <c r="A216" s="8"/>
      <c r="E216" s="10"/>
    </row>
    <row r="217" ht="30.0" customHeight="1">
      <c r="A217" s="8"/>
      <c r="E217" s="10"/>
    </row>
    <row r="218" ht="30.0" customHeight="1">
      <c r="A218" s="8"/>
      <c r="E218" s="10"/>
    </row>
    <row r="219" ht="30.0" customHeight="1">
      <c r="A219" s="8"/>
      <c r="E219" s="10"/>
    </row>
    <row r="220" ht="30.0" customHeight="1">
      <c r="A220" s="8"/>
      <c r="E220" s="10"/>
    </row>
    <row r="221" ht="30.0" customHeight="1">
      <c r="A221" s="8"/>
      <c r="E221" s="10"/>
    </row>
    <row r="222" ht="30.0" customHeight="1">
      <c r="A222" s="8"/>
      <c r="E222" s="10"/>
    </row>
    <row r="223" ht="30.0" customHeight="1">
      <c r="A223" s="8"/>
      <c r="E223" s="10"/>
    </row>
    <row r="224" ht="30.0" customHeight="1">
      <c r="A224" s="8"/>
      <c r="E224" s="10"/>
    </row>
    <row r="225" ht="30.0" customHeight="1">
      <c r="A225" s="8"/>
      <c r="E225" s="10"/>
    </row>
    <row r="226" ht="30.0" customHeight="1">
      <c r="A226" s="8"/>
      <c r="E226" s="10"/>
    </row>
    <row r="227" ht="30.0" customHeight="1">
      <c r="A227" s="8"/>
      <c r="E227" s="10"/>
    </row>
    <row r="228" ht="30.0" customHeight="1">
      <c r="A228" s="8"/>
      <c r="E228" s="10"/>
    </row>
    <row r="229" ht="30.0" customHeight="1">
      <c r="A229" s="8"/>
      <c r="E229" s="10"/>
    </row>
    <row r="230" ht="30.0" customHeight="1">
      <c r="A230" s="8"/>
      <c r="E230" s="10"/>
    </row>
    <row r="231" ht="30.0" customHeight="1">
      <c r="A231" s="8"/>
      <c r="E231" s="10"/>
    </row>
    <row r="232" ht="30.0" customHeight="1">
      <c r="A232" s="8"/>
      <c r="E232" s="10"/>
    </row>
    <row r="233" ht="30.0" customHeight="1">
      <c r="A233" s="8"/>
      <c r="E233" s="10"/>
    </row>
    <row r="234" ht="30.0" customHeight="1">
      <c r="A234" s="8"/>
      <c r="E234" s="10"/>
    </row>
    <row r="235" ht="30.0" customHeight="1">
      <c r="A235" s="8"/>
      <c r="E235" s="10"/>
    </row>
    <row r="236" ht="30.0" customHeight="1">
      <c r="A236" s="8"/>
      <c r="E236" s="10"/>
    </row>
    <row r="237" ht="30.0" customHeight="1">
      <c r="A237" s="8"/>
      <c r="E237" s="10"/>
    </row>
    <row r="238" ht="30.0" customHeight="1">
      <c r="A238" s="8"/>
      <c r="E238" s="10"/>
    </row>
    <row r="239" ht="30.0" customHeight="1">
      <c r="A239" s="8"/>
      <c r="E239" s="10"/>
    </row>
    <row r="240" ht="30.0" customHeight="1">
      <c r="A240" s="8"/>
      <c r="E240" s="10"/>
    </row>
    <row r="241" ht="30.0" customHeight="1">
      <c r="A241" s="8"/>
      <c r="E241" s="10"/>
    </row>
    <row r="242" ht="30.0" customHeight="1">
      <c r="A242" s="8"/>
      <c r="E242" s="10"/>
    </row>
    <row r="243" ht="30.0" customHeight="1">
      <c r="A243" s="8"/>
      <c r="E243" s="10"/>
    </row>
    <row r="244" ht="30.0" customHeight="1">
      <c r="A244" s="8"/>
      <c r="E244" s="10"/>
    </row>
    <row r="245" ht="30.0" customHeight="1">
      <c r="A245" s="8"/>
      <c r="E245" s="10"/>
    </row>
    <row r="246" ht="30.0" customHeight="1">
      <c r="A246" s="8"/>
      <c r="E246" s="10"/>
    </row>
    <row r="247" ht="30.0" customHeight="1">
      <c r="A247" s="8"/>
      <c r="E247" s="10"/>
    </row>
    <row r="248" ht="30.0" customHeight="1">
      <c r="A248" s="8"/>
      <c r="E248" s="10"/>
    </row>
    <row r="249" ht="30.0" customHeight="1">
      <c r="A249" s="8"/>
      <c r="E249" s="10"/>
    </row>
    <row r="250" ht="30.0" customHeight="1">
      <c r="A250" s="8"/>
      <c r="E250" s="10"/>
    </row>
    <row r="251" ht="30.0" customHeight="1">
      <c r="A251" s="8"/>
      <c r="E251" s="10"/>
    </row>
    <row r="252" ht="30.0" customHeight="1">
      <c r="A252" s="8"/>
      <c r="E252" s="10"/>
    </row>
    <row r="253" ht="30.0" customHeight="1">
      <c r="A253" s="8"/>
      <c r="E253" s="10"/>
    </row>
    <row r="254" ht="30.0" customHeight="1">
      <c r="A254" s="8"/>
      <c r="E254" s="10"/>
    </row>
    <row r="255" ht="30.0" customHeight="1">
      <c r="A255" s="8"/>
      <c r="E255" s="10"/>
    </row>
    <row r="256" ht="30.0" customHeight="1">
      <c r="A256" s="8"/>
      <c r="E256" s="10"/>
    </row>
    <row r="257" ht="30.0" customHeight="1">
      <c r="A257" s="8"/>
      <c r="E257" s="10"/>
    </row>
    <row r="258" ht="30.0" customHeight="1">
      <c r="A258" s="8"/>
      <c r="E258" s="10"/>
    </row>
    <row r="259" ht="30.0" customHeight="1">
      <c r="A259" s="8"/>
      <c r="E259" s="10"/>
    </row>
    <row r="260" ht="30.0" customHeight="1">
      <c r="A260" s="8"/>
      <c r="E260" s="10"/>
    </row>
    <row r="261" ht="30.0" customHeight="1">
      <c r="A261" s="8"/>
      <c r="E261" s="10"/>
    </row>
    <row r="262" ht="30.0" customHeight="1">
      <c r="A262" s="8"/>
      <c r="E262" s="10"/>
    </row>
    <row r="263" ht="30.0" customHeight="1">
      <c r="A263" s="8"/>
      <c r="E263" s="10"/>
    </row>
    <row r="264" ht="30.0" customHeight="1">
      <c r="A264" s="8"/>
      <c r="E264" s="10"/>
    </row>
    <row r="265" ht="30.0" customHeight="1">
      <c r="A265" s="8"/>
      <c r="E265" s="10"/>
    </row>
    <row r="266" ht="30.0" customHeight="1">
      <c r="A266" s="8"/>
      <c r="E266" s="10"/>
    </row>
    <row r="267" ht="30.0" customHeight="1">
      <c r="A267" s="8"/>
      <c r="E267" s="10"/>
    </row>
    <row r="268" ht="30.0" customHeight="1">
      <c r="A268" s="8"/>
      <c r="E268" s="10"/>
    </row>
    <row r="269" ht="30.0" customHeight="1">
      <c r="A269" s="8"/>
      <c r="E269" s="10"/>
    </row>
    <row r="270" ht="30.0" customHeight="1">
      <c r="A270" s="8"/>
      <c r="E270" s="10"/>
    </row>
    <row r="271" ht="30.0" customHeight="1">
      <c r="A271" s="8"/>
      <c r="E271" s="10"/>
    </row>
    <row r="272" ht="30.0" customHeight="1">
      <c r="A272" s="8"/>
      <c r="E272" s="10"/>
    </row>
    <row r="273" ht="30.0" customHeight="1">
      <c r="A273" s="8"/>
      <c r="E273" s="10"/>
    </row>
    <row r="274" ht="30.0" customHeight="1">
      <c r="A274" s="8"/>
      <c r="E274" s="10"/>
    </row>
    <row r="275" ht="30.0" customHeight="1">
      <c r="A275" s="8"/>
      <c r="E275" s="10"/>
    </row>
    <row r="276" ht="30.0" customHeight="1">
      <c r="A276" s="8"/>
      <c r="E276" s="10"/>
    </row>
    <row r="277" ht="30.0" customHeight="1">
      <c r="A277" s="8"/>
      <c r="E277" s="10"/>
    </row>
    <row r="278" ht="30.0" customHeight="1">
      <c r="A278" s="8"/>
      <c r="E278" s="10"/>
    </row>
    <row r="279" ht="30.0" customHeight="1">
      <c r="A279" s="8"/>
      <c r="E279" s="10"/>
    </row>
    <row r="280" ht="30.0" customHeight="1">
      <c r="A280" s="8"/>
      <c r="E280" s="10"/>
    </row>
    <row r="281" ht="30.0" customHeight="1">
      <c r="A281" s="8"/>
      <c r="E281" s="10"/>
    </row>
    <row r="282" ht="30.0" customHeight="1">
      <c r="A282" s="8"/>
      <c r="E282" s="10"/>
    </row>
    <row r="283" ht="30.0" customHeight="1">
      <c r="A283" s="8"/>
      <c r="E283" s="10"/>
    </row>
    <row r="284" ht="30.0" customHeight="1">
      <c r="A284" s="8"/>
      <c r="E284" s="10"/>
    </row>
    <row r="285" ht="30.0" customHeight="1">
      <c r="A285" s="8"/>
      <c r="E285" s="10"/>
    </row>
    <row r="286" ht="30.0" customHeight="1">
      <c r="A286" s="8"/>
      <c r="E286" s="10"/>
    </row>
    <row r="287" ht="30.0" customHeight="1">
      <c r="A287" s="8"/>
      <c r="E287" s="10"/>
    </row>
    <row r="288" ht="30.0" customHeight="1">
      <c r="A288" s="8"/>
      <c r="E288" s="10"/>
    </row>
    <row r="289" ht="30.0" customHeight="1">
      <c r="A289" s="8"/>
      <c r="E289" s="10"/>
    </row>
    <row r="290" ht="30.0" customHeight="1">
      <c r="A290" s="8"/>
      <c r="E290" s="10"/>
    </row>
    <row r="291" ht="30.0" customHeight="1">
      <c r="A291" s="8"/>
      <c r="E291" s="10"/>
    </row>
    <row r="292" ht="30.0" customHeight="1">
      <c r="A292" s="8"/>
      <c r="E292" s="10"/>
    </row>
    <row r="293" ht="30.0" customHeight="1">
      <c r="A293" s="8"/>
      <c r="E293" s="10"/>
    </row>
    <row r="294" ht="30.0" customHeight="1">
      <c r="A294" s="8"/>
      <c r="E294" s="10"/>
    </row>
    <row r="295" ht="30.0" customHeight="1">
      <c r="A295" s="8"/>
      <c r="E295" s="10"/>
    </row>
    <row r="296" ht="30.0" customHeight="1">
      <c r="A296" s="8"/>
      <c r="E296" s="10"/>
    </row>
    <row r="297" ht="30.0" customHeight="1">
      <c r="A297" s="8"/>
      <c r="E297" s="10"/>
    </row>
    <row r="298" ht="30.0" customHeight="1">
      <c r="A298" s="8"/>
      <c r="E298" s="10"/>
    </row>
    <row r="299" ht="30.0" customHeight="1">
      <c r="A299" s="8"/>
      <c r="E299" s="10"/>
    </row>
    <row r="300" ht="30.0" customHeight="1">
      <c r="A300" s="8"/>
      <c r="E300" s="10"/>
    </row>
    <row r="301" ht="30.0" customHeight="1">
      <c r="A301" s="8"/>
      <c r="E301" s="10"/>
    </row>
    <row r="302" ht="30.0" customHeight="1">
      <c r="A302" s="8"/>
      <c r="E302" s="10"/>
    </row>
    <row r="303" ht="30.0" customHeight="1">
      <c r="A303" s="8"/>
      <c r="E303" s="10"/>
    </row>
    <row r="304" ht="30.0" customHeight="1">
      <c r="A304" s="8"/>
      <c r="E304" s="10"/>
    </row>
    <row r="305" ht="30.0" customHeight="1">
      <c r="A305" s="8"/>
      <c r="E305" s="10"/>
    </row>
    <row r="306" ht="30.0" customHeight="1">
      <c r="A306" s="8"/>
      <c r="E306" s="10"/>
    </row>
    <row r="307" ht="30.0" customHeight="1">
      <c r="A307" s="8"/>
      <c r="E307" s="10"/>
    </row>
    <row r="308" ht="30.0" customHeight="1">
      <c r="A308" s="8"/>
      <c r="E308" s="10"/>
    </row>
    <row r="309" ht="30.0" customHeight="1">
      <c r="A309" s="8"/>
      <c r="E309" s="10"/>
    </row>
    <row r="310" ht="30.0" customHeight="1">
      <c r="A310" s="8"/>
      <c r="E310" s="10"/>
    </row>
    <row r="311" ht="30.0" customHeight="1">
      <c r="A311" s="8"/>
      <c r="E311" s="10"/>
    </row>
    <row r="312" ht="30.0" customHeight="1">
      <c r="A312" s="8"/>
      <c r="E312" s="10"/>
    </row>
    <row r="313" ht="30.0" customHeight="1">
      <c r="A313" s="8"/>
      <c r="E313" s="10"/>
    </row>
    <row r="314" ht="30.0" customHeight="1">
      <c r="A314" s="8"/>
      <c r="E314" s="10"/>
    </row>
    <row r="315" ht="30.0" customHeight="1">
      <c r="A315" s="8"/>
      <c r="E315" s="10"/>
    </row>
    <row r="316" ht="30.0" customHeight="1">
      <c r="A316" s="8"/>
      <c r="E316" s="10"/>
    </row>
    <row r="317" ht="30.0" customHeight="1">
      <c r="A317" s="8"/>
      <c r="E317" s="10"/>
    </row>
    <row r="318" ht="30.0" customHeight="1">
      <c r="A318" s="8"/>
      <c r="E318" s="10"/>
    </row>
    <row r="319" ht="30.0" customHeight="1">
      <c r="A319" s="8"/>
      <c r="E319" s="10"/>
    </row>
    <row r="320" ht="30.0" customHeight="1">
      <c r="A320" s="8"/>
      <c r="E320" s="10"/>
    </row>
    <row r="321" ht="30.0" customHeight="1">
      <c r="A321" s="8"/>
      <c r="E321" s="10"/>
    </row>
    <row r="322" ht="30.0" customHeight="1">
      <c r="A322" s="8"/>
      <c r="E322" s="10"/>
    </row>
    <row r="323" ht="30.0" customHeight="1">
      <c r="A323" s="8"/>
      <c r="E323" s="10"/>
    </row>
    <row r="324" ht="30.0" customHeight="1">
      <c r="A324" s="8"/>
      <c r="E324" s="10"/>
    </row>
    <row r="325" ht="30.0" customHeight="1">
      <c r="A325" s="8"/>
      <c r="E325" s="10"/>
    </row>
    <row r="326" ht="30.0" customHeight="1">
      <c r="A326" s="8"/>
      <c r="E326" s="10"/>
    </row>
    <row r="327" ht="30.0" customHeight="1">
      <c r="A327" s="8"/>
      <c r="E327" s="10"/>
    </row>
    <row r="328" ht="30.0" customHeight="1">
      <c r="A328" s="8"/>
      <c r="E328" s="10"/>
    </row>
    <row r="329" ht="30.0" customHeight="1">
      <c r="A329" s="8"/>
      <c r="E329" s="10"/>
    </row>
    <row r="330" ht="30.0" customHeight="1">
      <c r="A330" s="8"/>
      <c r="E330" s="10"/>
    </row>
    <row r="331" ht="30.0" customHeight="1">
      <c r="A331" s="8"/>
      <c r="E331" s="10"/>
    </row>
    <row r="332" ht="30.0" customHeight="1">
      <c r="A332" s="8"/>
      <c r="E332" s="10"/>
    </row>
    <row r="333" ht="30.0" customHeight="1">
      <c r="A333" s="8"/>
      <c r="E333" s="10"/>
    </row>
    <row r="334" ht="30.0" customHeight="1">
      <c r="A334" s="8"/>
      <c r="E334" s="10"/>
    </row>
    <row r="335" ht="30.0" customHeight="1">
      <c r="A335" s="8"/>
      <c r="E335" s="10"/>
    </row>
    <row r="336" ht="30.0" customHeight="1">
      <c r="A336" s="8"/>
      <c r="E336" s="10"/>
    </row>
    <row r="337" ht="30.0" customHeight="1">
      <c r="A337" s="8"/>
      <c r="E337" s="10"/>
    </row>
    <row r="338" ht="30.0" customHeight="1">
      <c r="A338" s="8"/>
      <c r="E338" s="10"/>
    </row>
    <row r="339" ht="30.0" customHeight="1">
      <c r="A339" s="8"/>
      <c r="E339" s="10"/>
    </row>
    <row r="340" ht="30.0" customHeight="1">
      <c r="A340" s="8"/>
      <c r="E340" s="10"/>
    </row>
    <row r="341" ht="30.0" customHeight="1">
      <c r="A341" s="8"/>
      <c r="E341" s="10"/>
    </row>
    <row r="342" ht="30.0" customHeight="1">
      <c r="A342" s="8"/>
      <c r="E342" s="10"/>
    </row>
    <row r="343" ht="30.0" customHeight="1">
      <c r="A343" s="8"/>
      <c r="E343" s="10"/>
    </row>
    <row r="344" ht="30.0" customHeight="1">
      <c r="A344" s="8"/>
      <c r="E344" s="10"/>
    </row>
    <row r="345" ht="30.0" customHeight="1">
      <c r="A345" s="8"/>
      <c r="E345" s="10"/>
    </row>
    <row r="346" ht="30.0" customHeight="1">
      <c r="A346" s="8"/>
      <c r="E346" s="10"/>
    </row>
    <row r="347" ht="30.0" customHeight="1">
      <c r="A347" s="8"/>
      <c r="E347" s="10"/>
    </row>
    <row r="348" ht="30.0" customHeight="1">
      <c r="A348" s="8"/>
      <c r="E348" s="10"/>
    </row>
    <row r="349" ht="30.0" customHeight="1">
      <c r="A349" s="8"/>
      <c r="E349" s="10"/>
    </row>
    <row r="350" ht="30.0" customHeight="1">
      <c r="A350" s="8"/>
      <c r="E350" s="10"/>
    </row>
    <row r="351" ht="30.0" customHeight="1">
      <c r="A351" s="8"/>
      <c r="E351" s="10"/>
    </row>
    <row r="352" ht="30.0" customHeight="1">
      <c r="A352" s="8"/>
      <c r="E352" s="10"/>
    </row>
    <row r="353" ht="30.0" customHeight="1">
      <c r="A353" s="8"/>
      <c r="E353" s="10"/>
    </row>
    <row r="354" ht="30.0" customHeight="1">
      <c r="A354" s="8"/>
      <c r="E354" s="10"/>
    </row>
    <row r="355" ht="30.0" customHeight="1">
      <c r="A355" s="8"/>
      <c r="E355" s="10"/>
    </row>
    <row r="356" ht="30.0" customHeight="1">
      <c r="A356" s="8"/>
      <c r="E356" s="10"/>
    </row>
    <row r="357" ht="30.0" customHeight="1">
      <c r="A357" s="8"/>
      <c r="E357" s="10"/>
    </row>
    <row r="358" ht="30.0" customHeight="1">
      <c r="A358" s="8"/>
      <c r="E358" s="10"/>
    </row>
    <row r="359" ht="30.0" customHeight="1">
      <c r="A359" s="8"/>
      <c r="E359" s="10"/>
    </row>
    <row r="360" ht="30.0" customHeight="1">
      <c r="A360" s="8"/>
      <c r="E360" s="10"/>
    </row>
    <row r="361" ht="30.0" customHeight="1">
      <c r="A361" s="8"/>
      <c r="E361" s="10"/>
    </row>
    <row r="362" ht="30.0" customHeight="1">
      <c r="A362" s="8"/>
      <c r="E362" s="10"/>
    </row>
    <row r="363" ht="30.0" customHeight="1">
      <c r="A363" s="8"/>
      <c r="E363" s="10"/>
    </row>
    <row r="364" ht="30.0" customHeight="1">
      <c r="A364" s="8"/>
      <c r="E364" s="10"/>
    </row>
    <row r="365" ht="30.0" customHeight="1">
      <c r="A365" s="8"/>
      <c r="E365" s="10"/>
    </row>
    <row r="366" ht="30.0" customHeight="1">
      <c r="A366" s="8"/>
      <c r="E366" s="10"/>
    </row>
    <row r="367" ht="30.0" customHeight="1">
      <c r="A367" s="8"/>
      <c r="E367" s="10"/>
    </row>
    <row r="368" ht="30.0" customHeight="1">
      <c r="A368" s="8"/>
      <c r="E368" s="10"/>
    </row>
    <row r="369" ht="30.0" customHeight="1">
      <c r="A369" s="8"/>
      <c r="E369" s="10"/>
    </row>
    <row r="370" ht="30.0" customHeight="1">
      <c r="A370" s="8"/>
      <c r="E370" s="10"/>
    </row>
    <row r="371" ht="30.0" customHeight="1">
      <c r="A371" s="8"/>
      <c r="E371" s="10"/>
    </row>
    <row r="372" ht="30.0" customHeight="1">
      <c r="A372" s="8"/>
      <c r="E372" s="10"/>
    </row>
    <row r="373" ht="30.0" customHeight="1">
      <c r="A373" s="8"/>
      <c r="E373" s="10"/>
    </row>
    <row r="374" ht="30.0" customHeight="1">
      <c r="A374" s="8"/>
      <c r="E374" s="10"/>
    </row>
    <row r="375" ht="30.0" customHeight="1">
      <c r="A375" s="8"/>
      <c r="E375" s="10"/>
    </row>
    <row r="376" ht="30.0" customHeight="1">
      <c r="A376" s="8"/>
      <c r="E376" s="10"/>
    </row>
    <row r="377" ht="30.0" customHeight="1">
      <c r="A377" s="8"/>
      <c r="E377" s="10"/>
    </row>
    <row r="378" ht="30.0" customHeight="1">
      <c r="A378" s="8"/>
      <c r="E378" s="10"/>
    </row>
    <row r="379" ht="30.0" customHeight="1">
      <c r="A379" s="8"/>
      <c r="E379" s="10"/>
    </row>
    <row r="380" ht="30.0" customHeight="1">
      <c r="A380" s="8"/>
      <c r="E380" s="10"/>
    </row>
    <row r="381" ht="30.0" customHeight="1">
      <c r="A381" s="8"/>
      <c r="E381" s="10"/>
    </row>
    <row r="382" ht="30.0" customHeight="1">
      <c r="A382" s="8"/>
      <c r="E382" s="10"/>
    </row>
    <row r="383" ht="30.0" customHeight="1">
      <c r="A383" s="8"/>
      <c r="E383" s="10"/>
    </row>
    <row r="384" ht="30.0" customHeight="1">
      <c r="A384" s="8"/>
      <c r="E384" s="10"/>
    </row>
    <row r="385" ht="30.0" customHeight="1">
      <c r="A385" s="8"/>
      <c r="E385" s="10"/>
    </row>
    <row r="386" ht="30.0" customHeight="1">
      <c r="A386" s="8"/>
      <c r="E386" s="10"/>
    </row>
    <row r="387" ht="30.0" customHeight="1">
      <c r="A387" s="8"/>
      <c r="E387" s="10"/>
    </row>
    <row r="388" ht="30.0" customHeight="1">
      <c r="A388" s="8"/>
      <c r="E388" s="10"/>
    </row>
    <row r="389" ht="30.0" customHeight="1">
      <c r="A389" s="8"/>
      <c r="E389" s="10"/>
    </row>
    <row r="390" ht="30.0" customHeight="1">
      <c r="A390" s="8"/>
      <c r="E390" s="10"/>
    </row>
    <row r="391" ht="30.0" customHeight="1">
      <c r="A391" s="8"/>
      <c r="E391" s="10"/>
    </row>
    <row r="392" ht="30.0" customHeight="1">
      <c r="A392" s="8"/>
      <c r="E392" s="10"/>
    </row>
    <row r="393" ht="30.0" customHeight="1">
      <c r="A393" s="8"/>
      <c r="E393" s="10"/>
    </row>
    <row r="394" ht="30.0" customHeight="1">
      <c r="A394" s="8"/>
      <c r="E394" s="10"/>
    </row>
    <row r="395" ht="30.0" customHeight="1">
      <c r="A395" s="8"/>
      <c r="E395" s="10"/>
    </row>
    <row r="396" ht="30.0" customHeight="1">
      <c r="A396" s="8"/>
      <c r="E396" s="10"/>
    </row>
    <row r="397" ht="30.0" customHeight="1">
      <c r="A397" s="8"/>
      <c r="E397" s="10"/>
    </row>
    <row r="398" ht="30.0" customHeight="1">
      <c r="A398" s="8"/>
      <c r="E398" s="10"/>
    </row>
    <row r="399" ht="30.0" customHeight="1">
      <c r="A399" s="8"/>
      <c r="E399" s="10"/>
    </row>
    <row r="400" ht="30.0" customHeight="1">
      <c r="A400" s="8"/>
      <c r="E400" s="10"/>
    </row>
    <row r="401" ht="30.0" customHeight="1">
      <c r="A401" s="8"/>
      <c r="E401" s="10"/>
    </row>
    <row r="402" ht="30.0" customHeight="1">
      <c r="A402" s="8"/>
      <c r="E402" s="10"/>
    </row>
    <row r="403" ht="30.0" customHeight="1">
      <c r="A403" s="8"/>
      <c r="E403" s="10"/>
    </row>
    <row r="404" ht="30.0" customHeight="1">
      <c r="A404" s="8"/>
      <c r="E404" s="10"/>
    </row>
    <row r="405" ht="30.0" customHeight="1">
      <c r="A405" s="8"/>
      <c r="E405" s="10"/>
    </row>
    <row r="406" ht="30.0" customHeight="1">
      <c r="A406" s="8"/>
      <c r="E406" s="10"/>
    </row>
    <row r="407" ht="30.0" customHeight="1">
      <c r="A407" s="8"/>
      <c r="E407" s="10"/>
    </row>
    <row r="408" ht="30.0" customHeight="1">
      <c r="A408" s="8"/>
      <c r="E408" s="10"/>
    </row>
    <row r="409" ht="30.0" customHeight="1">
      <c r="A409" s="8"/>
      <c r="E409" s="10"/>
    </row>
    <row r="410" ht="30.0" customHeight="1">
      <c r="A410" s="8"/>
      <c r="E410" s="10"/>
    </row>
    <row r="411" ht="30.0" customHeight="1">
      <c r="A411" s="8"/>
      <c r="E411" s="10"/>
    </row>
    <row r="412" ht="30.0" customHeight="1">
      <c r="A412" s="8"/>
      <c r="E412" s="10"/>
    </row>
    <row r="413" ht="30.0" customHeight="1">
      <c r="A413" s="8"/>
      <c r="E413" s="10"/>
    </row>
    <row r="414" ht="30.0" customHeight="1">
      <c r="A414" s="8"/>
      <c r="E414" s="10"/>
    </row>
    <row r="415" ht="30.0" customHeight="1">
      <c r="A415" s="8"/>
      <c r="E415" s="10"/>
    </row>
    <row r="416" ht="30.0" customHeight="1">
      <c r="A416" s="8"/>
      <c r="E416" s="10"/>
    </row>
    <row r="417" ht="30.0" customHeight="1">
      <c r="A417" s="8"/>
      <c r="E417" s="10"/>
    </row>
    <row r="418" ht="30.0" customHeight="1">
      <c r="A418" s="8"/>
      <c r="E418" s="10"/>
    </row>
    <row r="419" ht="30.0" customHeight="1">
      <c r="A419" s="8"/>
      <c r="E419" s="10"/>
    </row>
    <row r="420" ht="30.0" customHeight="1">
      <c r="A420" s="8"/>
      <c r="E420" s="10"/>
    </row>
    <row r="421" ht="30.0" customHeight="1">
      <c r="A421" s="8"/>
      <c r="E421" s="10"/>
    </row>
    <row r="422" ht="30.0" customHeight="1">
      <c r="A422" s="8"/>
      <c r="E422" s="10"/>
    </row>
    <row r="423" ht="30.0" customHeight="1">
      <c r="A423" s="8"/>
      <c r="E423" s="10"/>
    </row>
    <row r="424" ht="30.0" customHeight="1">
      <c r="A424" s="8"/>
      <c r="E424" s="10"/>
    </row>
    <row r="425" ht="30.0" customHeight="1">
      <c r="A425" s="8"/>
      <c r="E425" s="10"/>
    </row>
    <row r="426" ht="30.0" customHeight="1">
      <c r="A426" s="8"/>
      <c r="E426" s="10"/>
    </row>
    <row r="427" ht="30.0" customHeight="1">
      <c r="A427" s="8"/>
      <c r="E427" s="10"/>
    </row>
    <row r="428" ht="30.0" customHeight="1">
      <c r="A428" s="8"/>
      <c r="E428" s="10"/>
    </row>
    <row r="429" ht="30.0" customHeight="1">
      <c r="A429" s="8"/>
      <c r="E429" s="10"/>
    </row>
    <row r="430" ht="30.0" customHeight="1">
      <c r="A430" s="8"/>
      <c r="E430" s="10"/>
    </row>
    <row r="431" ht="30.0" customHeight="1">
      <c r="A431" s="8"/>
      <c r="E431" s="10"/>
    </row>
    <row r="432" ht="30.0" customHeight="1">
      <c r="A432" s="8"/>
      <c r="E432" s="10"/>
    </row>
    <row r="433" ht="30.0" customHeight="1">
      <c r="A433" s="8"/>
      <c r="E433" s="10"/>
    </row>
    <row r="434" ht="30.0" customHeight="1">
      <c r="A434" s="8"/>
      <c r="E434" s="10"/>
    </row>
    <row r="435" ht="30.0" customHeight="1">
      <c r="A435" s="8"/>
      <c r="E435" s="10"/>
    </row>
    <row r="436" ht="30.0" customHeight="1">
      <c r="A436" s="8"/>
      <c r="E436" s="10"/>
    </row>
    <row r="437" ht="30.0" customHeight="1">
      <c r="A437" s="8"/>
      <c r="E437" s="10"/>
    </row>
    <row r="438" ht="30.0" customHeight="1">
      <c r="A438" s="8"/>
      <c r="E438" s="10"/>
    </row>
    <row r="439" ht="30.0" customHeight="1">
      <c r="A439" s="8"/>
      <c r="E439" s="10"/>
    </row>
    <row r="440" ht="30.0" customHeight="1">
      <c r="A440" s="8"/>
      <c r="E440" s="10"/>
    </row>
    <row r="441" ht="30.0" customHeight="1">
      <c r="A441" s="8"/>
      <c r="E441" s="10"/>
    </row>
    <row r="442" ht="30.0" customHeight="1">
      <c r="A442" s="8"/>
      <c r="E442" s="10"/>
    </row>
    <row r="443" ht="30.0" customHeight="1">
      <c r="A443" s="8"/>
      <c r="E443" s="10"/>
    </row>
    <row r="444" ht="30.0" customHeight="1">
      <c r="A444" s="8"/>
      <c r="E444" s="10"/>
    </row>
    <row r="445" ht="30.0" customHeight="1">
      <c r="A445" s="8"/>
      <c r="E445" s="10"/>
    </row>
    <row r="446" ht="30.0" customHeight="1">
      <c r="A446" s="8"/>
      <c r="E446" s="10"/>
    </row>
    <row r="447" ht="30.0" customHeight="1">
      <c r="A447" s="8"/>
      <c r="E447" s="10"/>
    </row>
    <row r="448" ht="30.0" customHeight="1">
      <c r="A448" s="8"/>
      <c r="E448" s="10"/>
    </row>
    <row r="449" ht="30.0" customHeight="1">
      <c r="A449" s="8"/>
      <c r="E449" s="10"/>
    </row>
    <row r="450" ht="30.0" customHeight="1">
      <c r="A450" s="8"/>
      <c r="E450" s="10"/>
    </row>
    <row r="451" ht="30.0" customHeight="1">
      <c r="A451" s="8"/>
      <c r="E451" s="10"/>
    </row>
    <row r="452" ht="30.0" customHeight="1">
      <c r="A452" s="8"/>
      <c r="E452" s="10"/>
    </row>
    <row r="453" ht="30.0" customHeight="1">
      <c r="A453" s="8"/>
      <c r="E453" s="10"/>
    </row>
    <row r="454" ht="30.0" customHeight="1">
      <c r="A454" s="8"/>
      <c r="E454" s="10"/>
    </row>
    <row r="455" ht="30.0" customHeight="1">
      <c r="A455" s="8"/>
      <c r="E455" s="10"/>
    </row>
    <row r="456" ht="30.0" customHeight="1">
      <c r="A456" s="8"/>
      <c r="E456" s="10"/>
    </row>
    <row r="457" ht="30.0" customHeight="1">
      <c r="A457" s="8"/>
      <c r="E457" s="10"/>
    </row>
    <row r="458" ht="30.0" customHeight="1">
      <c r="A458" s="8"/>
      <c r="E458" s="10"/>
    </row>
    <row r="459" ht="30.0" customHeight="1">
      <c r="A459" s="8"/>
      <c r="E459" s="10"/>
    </row>
    <row r="460" ht="30.0" customHeight="1">
      <c r="A460" s="8"/>
      <c r="E460" s="10"/>
    </row>
    <row r="461" ht="30.0" customHeight="1">
      <c r="A461" s="8"/>
      <c r="E461" s="10"/>
    </row>
    <row r="462" ht="30.0" customHeight="1">
      <c r="A462" s="8"/>
      <c r="E462" s="10"/>
    </row>
    <row r="463" ht="30.0" customHeight="1">
      <c r="A463" s="8"/>
      <c r="E463" s="10"/>
    </row>
    <row r="464" ht="30.0" customHeight="1">
      <c r="A464" s="8"/>
      <c r="E464" s="10"/>
    </row>
    <row r="465" ht="30.0" customHeight="1">
      <c r="A465" s="8"/>
      <c r="E465" s="10"/>
    </row>
    <row r="466" ht="30.0" customHeight="1">
      <c r="A466" s="8"/>
      <c r="E466" s="10"/>
    </row>
    <row r="467" ht="30.0" customHeight="1">
      <c r="A467" s="8"/>
      <c r="E467" s="10"/>
    </row>
    <row r="468" ht="30.0" customHeight="1">
      <c r="A468" s="8"/>
      <c r="E468" s="10"/>
    </row>
    <row r="469" ht="30.0" customHeight="1">
      <c r="A469" s="8"/>
      <c r="E469" s="10"/>
    </row>
    <row r="470" ht="30.0" customHeight="1">
      <c r="A470" s="8"/>
      <c r="E470" s="10"/>
    </row>
    <row r="471" ht="30.0" customHeight="1">
      <c r="A471" s="8"/>
      <c r="E471" s="10"/>
    </row>
    <row r="472" ht="30.0" customHeight="1">
      <c r="A472" s="8"/>
      <c r="E472" s="10"/>
    </row>
    <row r="473" ht="30.0" customHeight="1">
      <c r="A473" s="8"/>
      <c r="E473" s="10"/>
    </row>
    <row r="474" ht="30.0" customHeight="1">
      <c r="A474" s="8"/>
      <c r="E474" s="10"/>
    </row>
    <row r="475" ht="30.0" customHeight="1">
      <c r="A475" s="8"/>
      <c r="E475" s="10"/>
    </row>
    <row r="476" ht="30.0" customHeight="1">
      <c r="A476" s="8"/>
      <c r="E476" s="10"/>
    </row>
    <row r="477" ht="30.0" customHeight="1">
      <c r="A477" s="8"/>
      <c r="E477" s="10"/>
    </row>
    <row r="478" ht="30.0" customHeight="1">
      <c r="A478" s="8"/>
      <c r="E478" s="10"/>
    </row>
    <row r="479" ht="30.0" customHeight="1">
      <c r="A479" s="8"/>
      <c r="E479" s="10"/>
    </row>
    <row r="480" ht="30.0" customHeight="1">
      <c r="A480" s="8"/>
      <c r="E480" s="10"/>
    </row>
    <row r="481" ht="30.0" customHeight="1">
      <c r="A481" s="8"/>
      <c r="E481" s="10"/>
    </row>
    <row r="482" ht="30.0" customHeight="1">
      <c r="A482" s="8"/>
      <c r="E482" s="10"/>
    </row>
    <row r="483" ht="30.0" customHeight="1">
      <c r="A483" s="8"/>
      <c r="E483" s="10"/>
    </row>
    <row r="484" ht="30.0" customHeight="1">
      <c r="A484" s="8"/>
      <c r="E484" s="10"/>
    </row>
    <row r="485" ht="30.0" customHeight="1">
      <c r="A485" s="8"/>
      <c r="E485" s="10"/>
    </row>
    <row r="486" ht="30.0" customHeight="1">
      <c r="A486" s="8"/>
      <c r="E486" s="10"/>
    </row>
    <row r="487" ht="30.0" customHeight="1">
      <c r="A487" s="8"/>
      <c r="E487" s="10"/>
    </row>
    <row r="488" ht="30.0" customHeight="1">
      <c r="A488" s="8"/>
      <c r="E488" s="10"/>
    </row>
    <row r="489" ht="30.0" customHeight="1">
      <c r="A489" s="8"/>
      <c r="E489" s="10"/>
    </row>
    <row r="490" ht="30.0" customHeight="1">
      <c r="A490" s="8"/>
      <c r="E490" s="10"/>
    </row>
    <row r="491" ht="30.0" customHeight="1">
      <c r="A491" s="8"/>
      <c r="E491" s="10"/>
    </row>
    <row r="492" ht="30.0" customHeight="1">
      <c r="A492" s="8"/>
      <c r="E492" s="10"/>
    </row>
    <row r="493" ht="30.0" customHeight="1">
      <c r="A493" s="8"/>
      <c r="E493" s="10"/>
    </row>
    <row r="494" ht="30.0" customHeight="1">
      <c r="A494" s="8"/>
      <c r="E494" s="10"/>
    </row>
    <row r="495" ht="30.0" customHeight="1">
      <c r="A495" s="8"/>
      <c r="E495" s="10"/>
    </row>
    <row r="496" ht="30.0" customHeight="1">
      <c r="A496" s="8"/>
      <c r="E496" s="10"/>
    </row>
    <row r="497" ht="30.0" customHeight="1">
      <c r="A497" s="8"/>
      <c r="E497" s="10"/>
    </row>
    <row r="498" ht="30.0" customHeight="1">
      <c r="A498" s="8"/>
      <c r="E498" s="10"/>
    </row>
    <row r="499" ht="30.0" customHeight="1">
      <c r="A499" s="8"/>
      <c r="E499" s="10"/>
    </row>
    <row r="500" ht="30.0" customHeight="1">
      <c r="A500" s="8"/>
      <c r="E500" s="10"/>
    </row>
    <row r="501" ht="30.0" customHeight="1">
      <c r="A501" s="8"/>
      <c r="E501" s="10"/>
    </row>
    <row r="502" ht="30.0" customHeight="1">
      <c r="A502" s="8"/>
      <c r="E502" s="10"/>
    </row>
    <row r="503" ht="30.0" customHeight="1">
      <c r="A503" s="8"/>
      <c r="E503" s="10"/>
    </row>
    <row r="504" ht="30.0" customHeight="1">
      <c r="A504" s="8"/>
      <c r="E504" s="10"/>
    </row>
    <row r="505" ht="30.0" customHeight="1">
      <c r="A505" s="8"/>
      <c r="E505" s="10"/>
    </row>
    <row r="506" ht="30.0" customHeight="1">
      <c r="A506" s="8"/>
      <c r="E506" s="10"/>
    </row>
    <row r="507" ht="30.0" customHeight="1">
      <c r="A507" s="8"/>
      <c r="E507" s="10"/>
    </row>
    <row r="508" ht="30.0" customHeight="1">
      <c r="A508" s="8"/>
      <c r="E508" s="10"/>
    </row>
    <row r="509" ht="30.0" customHeight="1">
      <c r="A509" s="8"/>
      <c r="E509" s="10"/>
    </row>
    <row r="510" ht="30.0" customHeight="1">
      <c r="A510" s="8"/>
      <c r="E510" s="10"/>
    </row>
    <row r="511" ht="30.0" customHeight="1">
      <c r="A511" s="8"/>
      <c r="E511" s="10"/>
    </row>
    <row r="512" ht="30.0" customHeight="1">
      <c r="A512" s="8"/>
      <c r="E512" s="10"/>
    </row>
    <row r="513" ht="30.0" customHeight="1">
      <c r="A513" s="8"/>
      <c r="E513" s="10"/>
    </row>
    <row r="514" ht="30.0" customHeight="1">
      <c r="A514" s="8"/>
      <c r="E514" s="10"/>
    </row>
    <row r="515" ht="30.0" customHeight="1">
      <c r="A515" s="8"/>
      <c r="E515" s="10"/>
    </row>
    <row r="516" ht="30.0" customHeight="1">
      <c r="A516" s="8"/>
      <c r="E516" s="10"/>
    </row>
    <row r="517" ht="30.0" customHeight="1">
      <c r="A517" s="8"/>
      <c r="E517" s="10"/>
    </row>
    <row r="518" ht="30.0" customHeight="1">
      <c r="A518" s="8"/>
      <c r="E518" s="10"/>
    </row>
    <row r="519" ht="30.0" customHeight="1">
      <c r="A519" s="8"/>
      <c r="E519" s="10"/>
    </row>
    <row r="520" ht="30.0" customHeight="1">
      <c r="A520" s="8"/>
      <c r="E520" s="10"/>
    </row>
    <row r="521" ht="30.0" customHeight="1">
      <c r="A521" s="8"/>
      <c r="E521" s="10"/>
    </row>
    <row r="522" ht="30.0" customHeight="1">
      <c r="A522" s="8"/>
      <c r="E522" s="10"/>
    </row>
    <row r="523" ht="30.0" customHeight="1">
      <c r="A523" s="8"/>
      <c r="E523" s="10"/>
    </row>
    <row r="524" ht="30.0" customHeight="1">
      <c r="A524" s="8"/>
      <c r="E524" s="10"/>
    </row>
    <row r="525" ht="30.0" customHeight="1">
      <c r="A525" s="8"/>
      <c r="E525" s="10"/>
    </row>
    <row r="526" ht="30.0" customHeight="1">
      <c r="A526" s="8"/>
      <c r="E526" s="10"/>
    </row>
    <row r="527" ht="30.0" customHeight="1">
      <c r="A527" s="8"/>
      <c r="E527" s="10"/>
    </row>
    <row r="528" ht="30.0" customHeight="1">
      <c r="A528" s="8"/>
      <c r="E528" s="10"/>
    </row>
    <row r="529" ht="30.0" customHeight="1">
      <c r="A529" s="8"/>
      <c r="E529" s="10"/>
    </row>
    <row r="530" ht="30.0" customHeight="1">
      <c r="A530" s="8"/>
      <c r="E530" s="10"/>
    </row>
    <row r="531" ht="30.0" customHeight="1">
      <c r="A531" s="8"/>
      <c r="E531" s="10"/>
    </row>
    <row r="532" ht="30.0" customHeight="1">
      <c r="A532" s="8"/>
      <c r="E532" s="10"/>
    </row>
    <row r="533" ht="30.0" customHeight="1">
      <c r="A533" s="8"/>
      <c r="E533" s="10"/>
    </row>
    <row r="534" ht="30.0" customHeight="1">
      <c r="A534" s="8"/>
      <c r="E534" s="10"/>
    </row>
    <row r="535" ht="30.0" customHeight="1">
      <c r="A535" s="8"/>
      <c r="E535" s="10"/>
    </row>
    <row r="536" ht="30.0" customHeight="1">
      <c r="A536" s="8"/>
      <c r="E536" s="10"/>
    </row>
    <row r="537" ht="30.0" customHeight="1">
      <c r="A537" s="8"/>
      <c r="E537" s="10"/>
    </row>
    <row r="538" ht="30.0" customHeight="1">
      <c r="A538" s="8"/>
      <c r="E538" s="10"/>
    </row>
    <row r="539" ht="30.0" customHeight="1">
      <c r="A539" s="8"/>
      <c r="E539" s="10"/>
    </row>
    <row r="540" ht="30.0" customHeight="1">
      <c r="A540" s="8"/>
      <c r="E540" s="10"/>
    </row>
    <row r="541" ht="30.0" customHeight="1">
      <c r="A541" s="8"/>
      <c r="E541" s="10"/>
    </row>
    <row r="542" ht="30.0" customHeight="1">
      <c r="A542" s="8"/>
      <c r="E542" s="10"/>
    </row>
    <row r="543" ht="30.0" customHeight="1">
      <c r="A543" s="8"/>
      <c r="E543" s="10"/>
    </row>
    <row r="544" ht="30.0" customHeight="1">
      <c r="A544" s="8"/>
      <c r="E544" s="10"/>
    </row>
    <row r="545" ht="30.0" customHeight="1">
      <c r="A545" s="8"/>
      <c r="E545" s="10"/>
    </row>
    <row r="546" ht="30.0" customHeight="1">
      <c r="A546" s="8"/>
      <c r="E546" s="10"/>
    </row>
    <row r="547" ht="30.0" customHeight="1">
      <c r="A547" s="8"/>
      <c r="E547" s="10"/>
    </row>
    <row r="548" ht="30.0" customHeight="1">
      <c r="A548" s="8"/>
      <c r="E548" s="10"/>
    </row>
    <row r="549" ht="30.0" customHeight="1">
      <c r="A549" s="8"/>
      <c r="E549" s="10"/>
    </row>
    <row r="550" ht="30.0" customHeight="1">
      <c r="A550" s="8"/>
      <c r="E550" s="10"/>
    </row>
    <row r="551" ht="30.0" customHeight="1">
      <c r="A551" s="8"/>
      <c r="E551" s="10"/>
    </row>
    <row r="552" ht="30.0" customHeight="1">
      <c r="A552" s="8"/>
      <c r="E552" s="10"/>
    </row>
    <row r="553" ht="30.0" customHeight="1">
      <c r="A553" s="8"/>
      <c r="E553" s="10"/>
    </row>
    <row r="554" ht="30.0" customHeight="1">
      <c r="A554" s="8"/>
      <c r="E554" s="10"/>
    </row>
    <row r="555" ht="30.0" customHeight="1">
      <c r="A555" s="8"/>
      <c r="E555" s="10"/>
    </row>
    <row r="556" ht="30.0" customHeight="1">
      <c r="A556" s="8"/>
      <c r="E556" s="10"/>
    </row>
    <row r="557" ht="30.0" customHeight="1">
      <c r="A557" s="8"/>
      <c r="E557" s="10"/>
    </row>
    <row r="558" ht="30.0" customHeight="1">
      <c r="A558" s="8"/>
      <c r="E558" s="10"/>
    </row>
    <row r="559" ht="30.0" customHeight="1">
      <c r="A559" s="8"/>
      <c r="E559" s="10"/>
    </row>
    <row r="560" ht="30.0" customHeight="1">
      <c r="A560" s="8"/>
      <c r="E560" s="10"/>
    </row>
    <row r="561" ht="30.0" customHeight="1">
      <c r="A561" s="8"/>
      <c r="E561" s="10"/>
    </row>
    <row r="562" ht="30.0" customHeight="1">
      <c r="A562" s="8"/>
      <c r="E562" s="10"/>
    </row>
    <row r="563" ht="30.0" customHeight="1">
      <c r="A563" s="8"/>
      <c r="E563" s="10"/>
    </row>
    <row r="564" ht="30.0" customHeight="1">
      <c r="A564" s="8"/>
      <c r="E564" s="10"/>
    </row>
    <row r="565" ht="30.0" customHeight="1">
      <c r="A565" s="8"/>
      <c r="E565" s="10"/>
    </row>
    <row r="566" ht="30.0" customHeight="1">
      <c r="A566" s="8"/>
      <c r="E566" s="10"/>
    </row>
    <row r="567" ht="30.0" customHeight="1">
      <c r="A567" s="8"/>
      <c r="E567" s="10"/>
    </row>
    <row r="568" ht="30.0" customHeight="1">
      <c r="A568" s="8"/>
      <c r="E568" s="10"/>
    </row>
    <row r="569" ht="30.0" customHeight="1">
      <c r="A569" s="8"/>
      <c r="E569" s="10"/>
    </row>
    <row r="570" ht="30.0" customHeight="1">
      <c r="A570" s="8"/>
      <c r="E570" s="10"/>
    </row>
    <row r="571" ht="30.0" customHeight="1">
      <c r="A571" s="8"/>
      <c r="E571" s="10"/>
    </row>
    <row r="572" ht="30.0" customHeight="1">
      <c r="A572" s="8"/>
      <c r="E572" s="10"/>
    </row>
    <row r="573" ht="30.0" customHeight="1">
      <c r="A573" s="8"/>
      <c r="E573" s="10"/>
    </row>
    <row r="574" ht="30.0" customHeight="1">
      <c r="A574" s="8"/>
      <c r="E574" s="10"/>
    </row>
    <row r="575" ht="30.0" customHeight="1">
      <c r="A575" s="8"/>
      <c r="E575" s="10"/>
    </row>
    <row r="576" ht="30.0" customHeight="1">
      <c r="A576" s="8"/>
      <c r="E576" s="10"/>
    </row>
    <row r="577" ht="30.0" customHeight="1">
      <c r="A577" s="8"/>
      <c r="E577" s="10"/>
    </row>
    <row r="578" ht="30.0" customHeight="1">
      <c r="A578" s="8"/>
      <c r="E578" s="10"/>
    </row>
    <row r="579" ht="30.0" customHeight="1">
      <c r="A579" s="8"/>
      <c r="E579" s="10"/>
    </row>
    <row r="580" ht="30.0" customHeight="1">
      <c r="A580" s="8"/>
      <c r="E580" s="10"/>
    </row>
    <row r="581" ht="30.0" customHeight="1">
      <c r="A581" s="8"/>
      <c r="E581" s="10"/>
    </row>
    <row r="582" ht="30.0" customHeight="1">
      <c r="A582" s="8"/>
      <c r="E582" s="10"/>
    </row>
    <row r="583" ht="30.0" customHeight="1">
      <c r="A583" s="8"/>
      <c r="E583" s="10"/>
    </row>
    <row r="584" ht="30.0" customHeight="1">
      <c r="A584" s="8"/>
      <c r="E584" s="10"/>
    </row>
    <row r="585" ht="30.0" customHeight="1">
      <c r="A585" s="8"/>
      <c r="E585" s="10"/>
    </row>
    <row r="586" ht="30.0" customHeight="1">
      <c r="A586" s="8"/>
      <c r="E586" s="10"/>
    </row>
    <row r="587" ht="30.0" customHeight="1">
      <c r="A587" s="8"/>
      <c r="E587" s="10"/>
    </row>
    <row r="588" ht="30.0" customHeight="1">
      <c r="A588" s="8"/>
      <c r="E588" s="10"/>
    </row>
    <row r="589" ht="30.0" customHeight="1">
      <c r="A589" s="8"/>
      <c r="E589" s="10"/>
    </row>
    <row r="590" ht="30.0" customHeight="1">
      <c r="A590" s="8"/>
      <c r="E590" s="10"/>
    </row>
    <row r="591" ht="30.0" customHeight="1">
      <c r="A591" s="8"/>
      <c r="E591" s="10"/>
    </row>
    <row r="592" ht="30.0" customHeight="1">
      <c r="A592" s="8"/>
      <c r="E592" s="10"/>
    </row>
    <row r="593" ht="30.0" customHeight="1">
      <c r="A593" s="8"/>
      <c r="E593" s="10"/>
    </row>
    <row r="594" ht="30.0" customHeight="1">
      <c r="A594" s="8"/>
      <c r="E594" s="10"/>
    </row>
    <row r="595" ht="30.0" customHeight="1">
      <c r="A595" s="8"/>
      <c r="E595" s="10"/>
    </row>
    <row r="596" ht="30.0" customHeight="1">
      <c r="A596" s="8"/>
      <c r="E596" s="10"/>
    </row>
    <row r="597" ht="30.0" customHeight="1">
      <c r="A597" s="8"/>
      <c r="E597" s="10"/>
    </row>
    <row r="598" ht="30.0" customHeight="1">
      <c r="A598" s="8"/>
      <c r="E598" s="10"/>
    </row>
    <row r="599" ht="30.0" customHeight="1">
      <c r="A599" s="8"/>
      <c r="E599" s="10"/>
    </row>
    <row r="600" ht="30.0" customHeight="1">
      <c r="A600" s="8"/>
      <c r="E600" s="10"/>
    </row>
    <row r="601" ht="30.0" customHeight="1">
      <c r="A601" s="8"/>
      <c r="E601" s="10"/>
    </row>
    <row r="602" ht="30.0" customHeight="1">
      <c r="A602" s="8"/>
      <c r="E602" s="10"/>
    </row>
    <row r="603" ht="30.0" customHeight="1">
      <c r="A603" s="8"/>
      <c r="E603" s="10"/>
    </row>
    <row r="604" ht="30.0" customHeight="1">
      <c r="A604" s="8"/>
      <c r="E604" s="10"/>
    </row>
    <row r="605" ht="30.0" customHeight="1">
      <c r="A605" s="8"/>
      <c r="E605" s="10"/>
    </row>
    <row r="606" ht="30.0" customHeight="1">
      <c r="A606" s="8"/>
      <c r="E606" s="10"/>
    </row>
    <row r="607" ht="30.0" customHeight="1">
      <c r="A607" s="8"/>
      <c r="E607" s="10"/>
    </row>
    <row r="608" ht="30.0" customHeight="1">
      <c r="A608" s="8"/>
      <c r="E608" s="10"/>
    </row>
    <row r="609" ht="30.0" customHeight="1">
      <c r="A609" s="8"/>
      <c r="E609" s="10"/>
    </row>
    <row r="610" ht="30.0" customHeight="1">
      <c r="A610" s="8"/>
      <c r="E610" s="10"/>
    </row>
    <row r="611" ht="30.0" customHeight="1">
      <c r="A611" s="8"/>
      <c r="E611" s="10"/>
    </row>
    <row r="612" ht="30.0" customHeight="1">
      <c r="A612" s="8"/>
      <c r="E612" s="10"/>
    </row>
    <row r="613" ht="30.0" customHeight="1">
      <c r="A613" s="8"/>
      <c r="E613" s="10"/>
    </row>
    <row r="614" ht="30.0" customHeight="1">
      <c r="A614" s="8"/>
      <c r="E614" s="10"/>
    </row>
    <row r="615" ht="30.0" customHeight="1">
      <c r="A615" s="8"/>
      <c r="E615" s="10"/>
    </row>
    <row r="616" ht="30.0" customHeight="1">
      <c r="A616" s="8"/>
      <c r="E616" s="10"/>
    </row>
    <row r="617" ht="30.0" customHeight="1">
      <c r="A617" s="8"/>
      <c r="E617" s="10"/>
    </row>
    <row r="618" ht="30.0" customHeight="1">
      <c r="A618" s="8"/>
      <c r="E618" s="10"/>
    </row>
    <row r="619" ht="30.0" customHeight="1">
      <c r="A619" s="8"/>
      <c r="E619" s="10"/>
    </row>
    <row r="620" ht="30.0" customHeight="1">
      <c r="A620" s="8"/>
      <c r="E620" s="10"/>
    </row>
    <row r="621" ht="30.0" customHeight="1">
      <c r="A621" s="8"/>
      <c r="E621" s="10"/>
    </row>
    <row r="622" ht="30.0" customHeight="1">
      <c r="A622" s="8"/>
      <c r="E622" s="10"/>
    </row>
    <row r="623" ht="30.0" customHeight="1">
      <c r="A623" s="8"/>
      <c r="E623" s="10"/>
    </row>
    <row r="624" ht="30.0" customHeight="1">
      <c r="A624" s="8"/>
      <c r="E624" s="10"/>
    </row>
    <row r="625" ht="30.0" customHeight="1">
      <c r="A625" s="8"/>
      <c r="E625" s="10"/>
    </row>
    <row r="626" ht="30.0" customHeight="1">
      <c r="A626" s="8"/>
      <c r="E626" s="10"/>
    </row>
    <row r="627" ht="30.0" customHeight="1">
      <c r="A627" s="8"/>
      <c r="E627" s="10"/>
    </row>
    <row r="628" ht="30.0" customHeight="1">
      <c r="A628" s="8"/>
      <c r="E628" s="10"/>
    </row>
    <row r="629" ht="30.0" customHeight="1">
      <c r="A629" s="8"/>
      <c r="E629" s="10"/>
    </row>
    <row r="630" ht="30.0" customHeight="1">
      <c r="A630" s="8"/>
      <c r="E630" s="10"/>
    </row>
    <row r="631" ht="30.0" customHeight="1">
      <c r="A631" s="8"/>
      <c r="E631" s="10"/>
    </row>
    <row r="632" ht="30.0" customHeight="1">
      <c r="A632" s="8"/>
      <c r="E632" s="10"/>
    </row>
    <row r="633" ht="30.0" customHeight="1">
      <c r="A633" s="8"/>
      <c r="E633" s="10"/>
    </row>
    <row r="634" ht="30.0" customHeight="1">
      <c r="A634" s="8"/>
      <c r="E634" s="10"/>
    </row>
    <row r="635" ht="30.0" customHeight="1">
      <c r="A635" s="8"/>
      <c r="E635" s="10"/>
    </row>
    <row r="636" ht="30.0" customHeight="1">
      <c r="A636" s="8"/>
      <c r="E636" s="10"/>
    </row>
    <row r="637" ht="30.0" customHeight="1">
      <c r="A637" s="8"/>
      <c r="E637" s="10"/>
    </row>
    <row r="638" ht="30.0" customHeight="1">
      <c r="A638" s="8"/>
      <c r="E638" s="10"/>
    </row>
    <row r="639" ht="30.0" customHeight="1">
      <c r="A639" s="8"/>
      <c r="E639" s="10"/>
    </row>
    <row r="640" ht="30.0" customHeight="1">
      <c r="A640" s="8"/>
      <c r="E640" s="10"/>
    </row>
    <row r="641" ht="30.0" customHeight="1">
      <c r="A641" s="8"/>
      <c r="E641" s="10"/>
    </row>
    <row r="642" ht="30.0" customHeight="1">
      <c r="A642" s="8"/>
      <c r="E642" s="10"/>
    </row>
    <row r="643" ht="30.0" customHeight="1">
      <c r="A643" s="8"/>
      <c r="E643" s="10"/>
    </row>
    <row r="644" ht="30.0" customHeight="1">
      <c r="A644" s="8"/>
      <c r="E644" s="10"/>
    </row>
    <row r="645" ht="30.0" customHeight="1">
      <c r="A645" s="8"/>
      <c r="E645" s="10"/>
    </row>
    <row r="646" ht="30.0" customHeight="1">
      <c r="A646" s="8"/>
      <c r="E646" s="10"/>
    </row>
    <row r="647" ht="30.0" customHeight="1">
      <c r="A647" s="8"/>
      <c r="E647" s="10"/>
    </row>
    <row r="648" ht="30.0" customHeight="1">
      <c r="A648" s="8"/>
      <c r="E648" s="10"/>
    </row>
    <row r="649" ht="30.0" customHeight="1">
      <c r="A649" s="8"/>
      <c r="E649" s="10"/>
    </row>
    <row r="650" ht="30.0" customHeight="1">
      <c r="A650" s="8"/>
      <c r="E650" s="10"/>
    </row>
    <row r="651" ht="30.0" customHeight="1">
      <c r="A651" s="8"/>
      <c r="E651" s="10"/>
    </row>
    <row r="652" ht="30.0" customHeight="1">
      <c r="A652" s="8"/>
      <c r="E652" s="10"/>
    </row>
    <row r="653" ht="30.0" customHeight="1">
      <c r="A653" s="8"/>
      <c r="E653" s="10"/>
    </row>
    <row r="654" ht="30.0" customHeight="1">
      <c r="A654" s="8"/>
      <c r="E654" s="10"/>
    </row>
    <row r="655" ht="30.0" customHeight="1">
      <c r="A655" s="8"/>
      <c r="E655" s="10"/>
    </row>
    <row r="656" ht="30.0" customHeight="1">
      <c r="A656" s="8"/>
      <c r="E656" s="10"/>
    </row>
    <row r="657" ht="30.0" customHeight="1">
      <c r="A657" s="8"/>
      <c r="E657" s="10"/>
    </row>
    <row r="658" ht="30.0" customHeight="1">
      <c r="A658" s="8"/>
      <c r="E658" s="10"/>
    </row>
    <row r="659" ht="30.0" customHeight="1">
      <c r="A659" s="8"/>
      <c r="E659" s="10"/>
    </row>
    <row r="660" ht="30.0" customHeight="1">
      <c r="A660" s="8"/>
      <c r="E660" s="10"/>
    </row>
    <row r="661" ht="30.0" customHeight="1">
      <c r="A661" s="8"/>
      <c r="E661" s="10"/>
    </row>
    <row r="662" ht="30.0" customHeight="1">
      <c r="A662" s="8"/>
      <c r="E662" s="10"/>
    </row>
    <row r="663" ht="30.0" customHeight="1">
      <c r="A663" s="8"/>
      <c r="E663" s="10"/>
    </row>
    <row r="664" ht="30.0" customHeight="1">
      <c r="A664" s="8"/>
      <c r="E664" s="10"/>
    </row>
    <row r="665" ht="30.0" customHeight="1">
      <c r="A665" s="8"/>
      <c r="E665" s="10"/>
    </row>
    <row r="666" ht="30.0" customHeight="1">
      <c r="A666" s="8"/>
      <c r="E666" s="10"/>
    </row>
    <row r="667" ht="30.0" customHeight="1">
      <c r="A667" s="8"/>
      <c r="E667" s="10"/>
    </row>
    <row r="668" ht="30.0" customHeight="1">
      <c r="A668" s="8"/>
      <c r="E668" s="10"/>
    </row>
    <row r="669" ht="30.0" customHeight="1">
      <c r="A669" s="8"/>
      <c r="E669" s="10"/>
    </row>
    <row r="670" ht="30.0" customHeight="1">
      <c r="A670" s="8"/>
      <c r="E670" s="10"/>
    </row>
    <row r="671" ht="30.0" customHeight="1">
      <c r="A671" s="8"/>
      <c r="E671" s="10"/>
    </row>
    <row r="672" ht="30.0" customHeight="1">
      <c r="A672" s="8"/>
      <c r="E672" s="10"/>
    </row>
    <row r="673" ht="30.0" customHeight="1">
      <c r="A673" s="8"/>
      <c r="E673" s="10"/>
    </row>
    <row r="674" ht="30.0" customHeight="1">
      <c r="A674" s="8"/>
      <c r="E674" s="10"/>
    </row>
    <row r="675" ht="30.0" customHeight="1">
      <c r="A675" s="8"/>
      <c r="E675" s="10"/>
    </row>
    <row r="676" ht="30.0" customHeight="1">
      <c r="A676" s="8"/>
      <c r="E676" s="10"/>
    </row>
    <row r="677" ht="30.0" customHeight="1">
      <c r="A677" s="8"/>
      <c r="E677" s="10"/>
    </row>
    <row r="678" ht="30.0" customHeight="1">
      <c r="A678" s="8"/>
      <c r="E678" s="10"/>
    </row>
    <row r="679" ht="30.0" customHeight="1">
      <c r="A679" s="8"/>
      <c r="E679" s="10"/>
    </row>
    <row r="680" ht="30.0" customHeight="1">
      <c r="A680" s="8"/>
      <c r="E680" s="10"/>
    </row>
    <row r="681" ht="30.0" customHeight="1">
      <c r="A681" s="8"/>
      <c r="E681" s="10"/>
    </row>
    <row r="682" ht="30.0" customHeight="1">
      <c r="A682" s="8"/>
      <c r="E682" s="10"/>
    </row>
    <row r="683" ht="30.0" customHeight="1">
      <c r="A683" s="8"/>
      <c r="E683" s="10"/>
    </row>
    <row r="684" ht="30.0" customHeight="1">
      <c r="A684" s="8"/>
      <c r="E684" s="10"/>
    </row>
    <row r="685" ht="30.0" customHeight="1">
      <c r="A685" s="8"/>
      <c r="E685" s="10"/>
    </row>
    <row r="686" ht="30.0" customHeight="1">
      <c r="A686" s="8"/>
      <c r="E686" s="10"/>
    </row>
    <row r="687" ht="30.0" customHeight="1">
      <c r="A687" s="8"/>
      <c r="E687" s="10"/>
    </row>
    <row r="688" ht="30.0" customHeight="1">
      <c r="A688" s="8"/>
      <c r="E688" s="10"/>
    </row>
    <row r="689" ht="30.0" customHeight="1">
      <c r="A689" s="8"/>
      <c r="E689" s="10"/>
    </row>
    <row r="690" ht="30.0" customHeight="1">
      <c r="A690" s="8"/>
      <c r="E690" s="10"/>
    </row>
    <row r="691" ht="30.0" customHeight="1">
      <c r="A691" s="8"/>
      <c r="E691" s="10"/>
    </row>
    <row r="692" ht="30.0" customHeight="1">
      <c r="A692" s="8"/>
      <c r="E692" s="10"/>
    </row>
    <row r="693" ht="30.0" customHeight="1">
      <c r="A693" s="8"/>
      <c r="E693" s="10"/>
    </row>
    <row r="694" ht="30.0" customHeight="1">
      <c r="A694" s="8"/>
      <c r="E694" s="10"/>
    </row>
    <row r="695" ht="30.0" customHeight="1">
      <c r="A695" s="8"/>
      <c r="E695" s="10"/>
    </row>
    <row r="696" ht="30.0" customHeight="1">
      <c r="A696" s="8"/>
      <c r="E696" s="10"/>
    </row>
    <row r="697" ht="30.0" customHeight="1">
      <c r="A697" s="8"/>
      <c r="E697" s="10"/>
    </row>
    <row r="698" ht="30.0" customHeight="1">
      <c r="A698" s="8"/>
      <c r="E698" s="10"/>
    </row>
    <row r="699" ht="30.0" customHeight="1">
      <c r="A699" s="8"/>
      <c r="E699" s="10"/>
    </row>
    <row r="700" ht="30.0" customHeight="1">
      <c r="A700" s="8"/>
      <c r="E700" s="10"/>
    </row>
    <row r="701" ht="30.0" customHeight="1">
      <c r="A701" s="8"/>
      <c r="E701" s="10"/>
    </row>
    <row r="702" ht="30.0" customHeight="1">
      <c r="A702" s="8"/>
      <c r="E702" s="10"/>
    </row>
    <row r="703" ht="30.0" customHeight="1">
      <c r="A703" s="8"/>
      <c r="E703" s="10"/>
    </row>
    <row r="704" ht="30.0" customHeight="1">
      <c r="A704" s="8"/>
      <c r="E704" s="10"/>
    </row>
    <row r="705" ht="30.0" customHeight="1">
      <c r="A705" s="8"/>
      <c r="E705" s="10"/>
    </row>
    <row r="706" ht="30.0" customHeight="1">
      <c r="A706" s="8"/>
      <c r="E706" s="10"/>
    </row>
    <row r="707" ht="30.0" customHeight="1">
      <c r="A707" s="8"/>
      <c r="E707" s="10"/>
    </row>
    <row r="708" ht="30.0" customHeight="1">
      <c r="A708" s="8"/>
      <c r="E708" s="10"/>
    </row>
    <row r="709" ht="30.0" customHeight="1">
      <c r="A709" s="8"/>
      <c r="E709" s="10"/>
    </row>
    <row r="710" ht="30.0" customHeight="1">
      <c r="A710" s="8"/>
      <c r="E710" s="10"/>
    </row>
    <row r="711" ht="30.0" customHeight="1">
      <c r="A711" s="8"/>
      <c r="E711" s="10"/>
    </row>
    <row r="712" ht="30.0" customHeight="1">
      <c r="A712" s="8"/>
      <c r="E712" s="10"/>
    </row>
    <row r="713" ht="30.0" customHeight="1">
      <c r="A713" s="8"/>
      <c r="E713" s="10"/>
    </row>
    <row r="714" ht="30.0" customHeight="1">
      <c r="A714" s="8"/>
      <c r="E714" s="10"/>
    </row>
    <row r="715" ht="30.0" customHeight="1">
      <c r="A715" s="8"/>
      <c r="E715" s="10"/>
    </row>
    <row r="716" ht="30.0" customHeight="1">
      <c r="A716" s="8"/>
      <c r="E716" s="10"/>
    </row>
    <row r="717" ht="30.0" customHeight="1">
      <c r="A717" s="8"/>
      <c r="E717" s="10"/>
    </row>
    <row r="718" ht="30.0" customHeight="1">
      <c r="A718" s="8"/>
      <c r="E718" s="10"/>
    </row>
    <row r="719" ht="30.0" customHeight="1">
      <c r="A719" s="8"/>
      <c r="E719" s="10"/>
    </row>
    <row r="720" ht="30.0" customHeight="1">
      <c r="A720" s="8"/>
      <c r="E720" s="10"/>
    </row>
    <row r="721" ht="30.0" customHeight="1">
      <c r="A721" s="8"/>
      <c r="E721" s="10"/>
    </row>
    <row r="722" ht="30.0" customHeight="1">
      <c r="A722" s="8"/>
      <c r="E722" s="10"/>
    </row>
    <row r="723" ht="30.0" customHeight="1">
      <c r="A723" s="8"/>
      <c r="E723" s="10"/>
    </row>
    <row r="724" ht="30.0" customHeight="1">
      <c r="A724" s="8"/>
      <c r="E724" s="10"/>
    </row>
    <row r="725" ht="30.0" customHeight="1">
      <c r="A725" s="8"/>
      <c r="E725" s="10"/>
    </row>
    <row r="726" ht="30.0" customHeight="1">
      <c r="A726" s="8"/>
      <c r="E726" s="10"/>
    </row>
    <row r="727" ht="30.0" customHeight="1">
      <c r="A727" s="8"/>
      <c r="E727" s="10"/>
    </row>
    <row r="728" ht="30.0" customHeight="1">
      <c r="A728" s="8"/>
      <c r="E728" s="10"/>
    </row>
    <row r="729" ht="30.0" customHeight="1">
      <c r="A729" s="8"/>
      <c r="E729" s="10"/>
    </row>
    <row r="730" ht="30.0" customHeight="1">
      <c r="A730" s="8"/>
      <c r="E730" s="10"/>
    </row>
    <row r="731" ht="30.0" customHeight="1">
      <c r="A731" s="8"/>
      <c r="E731" s="10"/>
    </row>
    <row r="732" ht="30.0" customHeight="1">
      <c r="A732" s="8"/>
      <c r="E732" s="10"/>
    </row>
    <row r="733" ht="30.0" customHeight="1">
      <c r="A733" s="8"/>
      <c r="E733" s="10"/>
    </row>
    <row r="734" ht="30.0" customHeight="1">
      <c r="A734" s="8"/>
      <c r="E734" s="10"/>
    </row>
    <row r="735" ht="30.0" customHeight="1">
      <c r="A735" s="8"/>
      <c r="E735" s="10"/>
    </row>
    <row r="736" ht="30.0" customHeight="1">
      <c r="A736" s="8"/>
      <c r="E736" s="10"/>
    </row>
    <row r="737" ht="30.0" customHeight="1">
      <c r="A737" s="8"/>
      <c r="E737" s="10"/>
    </row>
    <row r="738" ht="30.0" customHeight="1">
      <c r="A738" s="8"/>
      <c r="E738" s="10"/>
    </row>
    <row r="739" ht="30.0" customHeight="1">
      <c r="A739" s="8"/>
      <c r="E739" s="10"/>
    </row>
    <row r="740" ht="30.0" customHeight="1">
      <c r="A740" s="8"/>
      <c r="E740" s="10"/>
    </row>
    <row r="741" ht="30.0" customHeight="1">
      <c r="A741" s="8"/>
      <c r="E741" s="10"/>
    </row>
    <row r="742" ht="30.0" customHeight="1">
      <c r="A742" s="8"/>
      <c r="E742" s="10"/>
    </row>
    <row r="743" ht="30.0" customHeight="1">
      <c r="A743" s="8"/>
      <c r="E743" s="10"/>
    </row>
    <row r="744" ht="30.0" customHeight="1">
      <c r="A744" s="8"/>
      <c r="E744" s="10"/>
    </row>
    <row r="745" ht="30.0" customHeight="1">
      <c r="A745" s="8"/>
      <c r="E745" s="10"/>
    </row>
    <row r="746" ht="30.0" customHeight="1">
      <c r="A746" s="8"/>
      <c r="E746" s="10"/>
    </row>
    <row r="747" ht="30.0" customHeight="1">
      <c r="A747" s="8"/>
      <c r="E747" s="10"/>
    </row>
    <row r="748" ht="30.0" customHeight="1">
      <c r="A748" s="8"/>
      <c r="E748" s="10"/>
    </row>
    <row r="749" ht="30.0" customHeight="1">
      <c r="A749" s="8"/>
      <c r="E749" s="10"/>
    </row>
    <row r="750" ht="30.0" customHeight="1">
      <c r="A750" s="8"/>
      <c r="E750" s="10"/>
    </row>
    <row r="751" ht="30.0" customHeight="1">
      <c r="A751" s="8"/>
      <c r="E751" s="10"/>
    </row>
    <row r="752" ht="30.0" customHeight="1">
      <c r="A752" s="8"/>
      <c r="E752" s="10"/>
    </row>
    <row r="753" ht="30.0" customHeight="1">
      <c r="A753" s="8"/>
      <c r="E753" s="10"/>
    </row>
    <row r="754" ht="30.0" customHeight="1">
      <c r="A754" s="8"/>
      <c r="E754" s="10"/>
    </row>
    <row r="755" ht="30.0" customHeight="1">
      <c r="A755" s="8"/>
      <c r="E755" s="10"/>
    </row>
    <row r="756" ht="30.0" customHeight="1">
      <c r="A756" s="8"/>
      <c r="E756" s="10"/>
    </row>
    <row r="757" ht="30.0" customHeight="1">
      <c r="A757" s="8"/>
      <c r="E757" s="10"/>
    </row>
    <row r="758" ht="30.0" customHeight="1">
      <c r="A758" s="8"/>
      <c r="E758" s="10"/>
    </row>
    <row r="759" ht="30.0" customHeight="1">
      <c r="A759" s="8"/>
      <c r="E759" s="10"/>
    </row>
    <row r="760" ht="30.0" customHeight="1">
      <c r="A760" s="8"/>
      <c r="E760" s="10"/>
    </row>
    <row r="761" ht="30.0" customHeight="1">
      <c r="A761" s="8"/>
      <c r="E761" s="10"/>
    </row>
    <row r="762" ht="30.0" customHeight="1">
      <c r="A762" s="8"/>
      <c r="E762" s="10"/>
    </row>
    <row r="763" ht="30.0" customHeight="1">
      <c r="A763" s="8"/>
      <c r="E763" s="10"/>
    </row>
    <row r="764" ht="30.0" customHeight="1">
      <c r="A764" s="8"/>
      <c r="E764" s="10"/>
    </row>
    <row r="765" ht="30.0" customHeight="1">
      <c r="A765" s="8"/>
      <c r="E765" s="10"/>
    </row>
    <row r="766" ht="30.0" customHeight="1">
      <c r="A766" s="8"/>
      <c r="E766" s="10"/>
    </row>
    <row r="767" ht="30.0" customHeight="1">
      <c r="A767" s="8"/>
      <c r="E767" s="10"/>
    </row>
    <row r="768" ht="30.0" customHeight="1">
      <c r="A768" s="8"/>
      <c r="E768" s="10"/>
    </row>
    <row r="769" ht="30.0" customHeight="1">
      <c r="A769" s="8"/>
      <c r="E769" s="10"/>
    </row>
    <row r="770" ht="30.0" customHeight="1">
      <c r="A770" s="8"/>
      <c r="E770" s="10"/>
    </row>
    <row r="771" ht="30.0" customHeight="1">
      <c r="A771" s="8"/>
      <c r="E771" s="10"/>
    </row>
    <row r="772" ht="30.0" customHeight="1">
      <c r="A772" s="8"/>
      <c r="E772" s="10"/>
    </row>
    <row r="773" ht="30.0" customHeight="1">
      <c r="A773" s="8"/>
      <c r="E773" s="10"/>
    </row>
    <row r="774" ht="30.0" customHeight="1">
      <c r="A774" s="8"/>
      <c r="E774" s="10"/>
    </row>
    <row r="775" ht="30.0" customHeight="1">
      <c r="A775" s="8"/>
      <c r="E775" s="10"/>
    </row>
    <row r="776" ht="30.0" customHeight="1">
      <c r="A776" s="8"/>
      <c r="E776" s="10"/>
    </row>
    <row r="777" ht="30.0" customHeight="1">
      <c r="A777" s="8"/>
      <c r="E777" s="10"/>
    </row>
    <row r="778" ht="30.0" customHeight="1">
      <c r="A778" s="8"/>
      <c r="E778" s="10"/>
    </row>
    <row r="779" ht="30.0" customHeight="1">
      <c r="A779" s="8"/>
      <c r="E779" s="10"/>
    </row>
    <row r="780" ht="30.0" customHeight="1">
      <c r="A780" s="8"/>
      <c r="E780" s="10"/>
    </row>
    <row r="781" ht="30.0" customHeight="1">
      <c r="A781" s="8"/>
      <c r="E781" s="10"/>
    </row>
    <row r="782" ht="30.0" customHeight="1">
      <c r="A782" s="8"/>
      <c r="E782" s="10"/>
    </row>
    <row r="783" ht="30.0" customHeight="1">
      <c r="A783" s="8"/>
      <c r="E783" s="10"/>
    </row>
    <row r="784" ht="30.0" customHeight="1">
      <c r="A784" s="8"/>
      <c r="E784" s="10"/>
    </row>
    <row r="785" ht="30.0" customHeight="1">
      <c r="A785" s="8"/>
      <c r="E785" s="10"/>
    </row>
    <row r="786" ht="30.0" customHeight="1">
      <c r="A786" s="8"/>
      <c r="E786" s="10"/>
    </row>
    <row r="787" ht="30.0" customHeight="1">
      <c r="A787" s="8"/>
      <c r="E787" s="10"/>
    </row>
    <row r="788" ht="30.0" customHeight="1">
      <c r="A788" s="8"/>
      <c r="E788" s="10"/>
    </row>
    <row r="789" ht="30.0" customHeight="1">
      <c r="A789" s="8"/>
      <c r="E789" s="10"/>
    </row>
    <row r="790" ht="30.0" customHeight="1">
      <c r="A790" s="8"/>
      <c r="E790" s="10"/>
    </row>
    <row r="791" ht="30.0" customHeight="1">
      <c r="A791" s="8"/>
      <c r="E791" s="10"/>
    </row>
    <row r="792" ht="30.0" customHeight="1">
      <c r="A792" s="8"/>
      <c r="E792" s="10"/>
    </row>
    <row r="793" ht="30.0" customHeight="1">
      <c r="A793" s="8"/>
      <c r="E793" s="10"/>
    </row>
    <row r="794" ht="30.0" customHeight="1">
      <c r="A794" s="8"/>
      <c r="E794" s="10"/>
    </row>
    <row r="795" ht="30.0" customHeight="1">
      <c r="A795" s="8"/>
      <c r="E795" s="10"/>
    </row>
    <row r="796" ht="30.0" customHeight="1">
      <c r="A796" s="8"/>
      <c r="E796" s="10"/>
    </row>
    <row r="797" ht="30.0" customHeight="1">
      <c r="A797" s="8"/>
      <c r="E797" s="10"/>
    </row>
    <row r="798" ht="30.0" customHeight="1">
      <c r="A798" s="8"/>
      <c r="E798" s="10"/>
    </row>
    <row r="799" ht="30.0" customHeight="1">
      <c r="A799" s="8"/>
      <c r="E799" s="10"/>
    </row>
    <row r="800" ht="30.0" customHeight="1">
      <c r="A800" s="8"/>
      <c r="E800" s="10"/>
    </row>
    <row r="801" ht="30.0" customHeight="1">
      <c r="A801" s="8"/>
      <c r="E801" s="10"/>
    </row>
    <row r="802" ht="30.0" customHeight="1">
      <c r="A802" s="8"/>
      <c r="E802" s="10"/>
    </row>
    <row r="803" ht="30.0" customHeight="1">
      <c r="A803" s="8"/>
      <c r="E803" s="10"/>
    </row>
    <row r="804" ht="30.0" customHeight="1">
      <c r="A804" s="8"/>
      <c r="E804" s="10"/>
    </row>
    <row r="805" ht="30.0" customHeight="1">
      <c r="A805" s="8"/>
      <c r="E805" s="10"/>
    </row>
    <row r="806" ht="30.0" customHeight="1">
      <c r="A806" s="8"/>
      <c r="E806" s="10"/>
    </row>
    <row r="807" ht="30.0" customHeight="1">
      <c r="A807" s="8"/>
      <c r="E807" s="10"/>
    </row>
    <row r="808" ht="30.0" customHeight="1">
      <c r="A808" s="8"/>
      <c r="E808" s="10"/>
    </row>
    <row r="809" ht="30.0" customHeight="1">
      <c r="A809" s="8"/>
      <c r="E809" s="10"/>
    </row>
    <row r="810" ht="30.0" customHeight="1">
      <c r="A810" s="8"/>
      <c r="E810" s="10"/>
    </row>
    <row r="811" ht="30.0" customHeight="1">
      <c r="A811" s="8"/>
      <c r="E811" s="10"/>
    </row>
    <row r="812" ht="30.0" customHeight="1">
      <c r="A812" s="8"/>
      <c r="E812" s="10"/>
    </row>
    <row r="813" ht="30.0" customHeight="1">
      <c r="A813" s="8"/>
      <c r="E813" s="10"/>
    </row>
    <row r="814" ht="30.0" customHeight="1">
      <c r="A814" s="8"/>
      <c r="E814" s="10"/>
    </row>
    <row r="815" ht="30.0" customHeight="1">
      <c r="A815" s="8"/>
      <c r="E815" s="10"/>
    </row>
    <row r="816" ht="30.0" customHeight="1">
      <c r="A816" s="8"/>
      <c r="E816" s="10"/>
    </row>
    <row r="817" ht="30.0" customHeight="1">
      <c r="A817" s="8"/>
      <c r="E817" s="10"/>
    </row>
    <row r="818" ht="30.0" customHeight="1">
      <c r="A818" s="8"/>
      <c r="E818" s="10"/>
    </row>
    <row r="819" ht="30.0" customHeight="1">
      <c r="A819" s="8"/>
      <c r="E819" s="10"/>
    </row>
    <row r="820" ht="30.0" customHeight="1">
      <c r="A820" s="8"/>
      <c r="E820" s="10"/>
    </row>
    <row r="821" ht="30.0" customHeight="1">
      <c r="A821" s="8"/>
      <c r="E821" s="10"/>
    </row>
    <row r="822" ht="30.0" customHeight="1">
      <c r="A822" s="8"/>
      <c r="E822" s="10"/>
    </row>
    <row r="823" ht="30.0" customHeight="1">
      <c r="A823" s="8"/>
      <c r="E823" s="10"/>
    </row>
    <row r="824" ht="30.0" customHeight="1">
      <c r="A824" s="8"/>
      <c r="E824" s="10"/>
    </row>
    <row r="825" ht="30.0" customHeight="1">
      <c r="A825" s="8"/>
      <c r="E825" s="10"/>
    </row>
    <row r="826" ht="30.0" customHeight="1">
      <c r="A826" s="8"/>
      <c r="E826" s="10"/>
    </row>
    <row r="827" ht="30.0" customHeight="1">
      <c r="A827" s="8"/>
      <c r="E827" s="10"/>
    </row>
    <row r="828" ht="30.0" customHeight="1">
      <c r="A828" s="8"/>
      <c r="E828" s="10"/>
    </row>
    <row r="829" ht="30.0" customHeight="1">
      <c r="A829" s="8"/>
      <c r="E829" s="10"/>
    </row>
    <row r="830" ht="30.0" customHeight="1">
      <c r="A830" s="8"/>
      <c r="E830" s="10"/>
    </row>
    <row r="831" ht="30.0" customHeight="1">
      <c r="A831" s="8"/>
      <c r="E831" s="10"/>
    </row>
    <row r="832" ht="30.0" customHeight="1">
      <c r="A832" s="8"/>
      <c r="E832" s="10"/>
    </row>
    <row r="833" ht="30.0" customHeight="1">
      <c r="A833" s="8"/>
      <c r="E833" s="10"/>
    </row>
    <row r="834" ht="30.0" customHeight="1">
      <c r="A834" s="8"/>
      <c r="E834" s="10"/>
    </row>
    <row r="835" ht="30.0" customHeight="1">
      <c r="A835" s="8"/>
      <c r="E835" s="10"/>
    </row>
    <row r="836" ht="30.0" customHeight="1">
      <c r="A836" s="8"/>
      <c r="E836" s="10"/>
    </row>
    <row r="837" ht="30.0" customHeight="1">
      <c r="A837" s="8"/>
      <c r="E837" s="10"/>
    </row>
    <row r="838" ht="30.0" customHeight="1">
      <c r="A838" s="8"/>
      <c r="E838" s="10"/>
    </row>
    <row r="839" ht="30.0" customHeight="1">
      <c r="A839" s="8"/>
      <c r="E839" s="10"/>
    </row>
    <row r="840" ht="30.0" customHeight="1">
      <c r="A840" s="8"/>
      <c r="E840" s="10"/>
    </row>
    <row r="841" ht="30.0" customHeight="1">
      <c r="A841" s="8"/>
      <c r="E841" s="10"/>
    </row>
    <row r="842" ht="30.0" customHeight="1">
      <c r="A842" s="8"/>
      <c r="E842" s="10"/>
    </row>
    <row r="843" ht="30.0" customHeight="1">
      <c r="A843" s="8"/>
      <c r="E843" s="10"/>
    </row>
    <row r="844" ht="30.0" customHeight="1">
      <c r="A844" s="8"/>
      <c r="E844" s="10"/>
    </row>
    <row r="845" ht="30.0" customHeight="1">
      <c r="A845" s="8"/>
      <c r="E845" s="10"/>
    </row>
    <row r="846" ht="30.0" customHeight="1">
      <c r="A846" s="8"/>
      <c r="E846" s="10"/>
    </row>
    <row r="847" ht="30.0" customHeight="1">
      <c r="A847" s="8"/>
      <c r="E847" s="10"/>
    </row>
    <row r="848" ht="30.0" customHeight="1">
      <c r="A848" s="8"/>
      <c r="E848" s="10"/>
    </row>
    <row r="849" ht="30.0" customHeight="1">
      <c r="A849" s="8"/>
      <c r="E849" s="10"/>
    </row>
    <row r="850" ht="30.0" customHeight="1">
      <c r="A850" s="8"/>
      <c r="E850" s="10"/>
    </row>
    <row r="851" ht="30.0" customHeight="1">
      <c r="A851" s="8"/>
      <c r="E851" s="10"/>
    </row>
    <row r="852" ht="30.0" customHeight="1">
      <c r="A852" s="8"/>
      <c r="E852" s="10"/>
    </row>
    <row r="853" ht="30.0" customHeight="1">
      <c r="A853" s="8"/>
      <c r="E853" s="10"/>
    </row>
    <row r="854" ht="30.0" customHeight="1">
      <c r="A854" s="8"/>
      <c r="E854" s="10"/>
    </row>
    <row r="855" ht="30.0" customHeight="1">
      <c r="A855" s="8"/>
      <c r="E855" s="10"/>
    </row>
    <row r="856" ht="30.0" customHeight="1">
      <c r="A856" s="8"/>
      <c r="E856" s="10"/>
    </row>
    <row r="857" ht="30.0" customHeight="1">
      <c r="A857" s="8"/>
      <c r="E857" s="10"/>
    </row>
    <row r="858" ht="30.0" customHeight="1">
      <c r="A858" s="8"/>
      <c r="E858" s="10"/>
    </row>
    <row r="859" ht="30.0" customHeight="1">
      <c r="A859" s="8"/>
      <c r="E859" s="10"/>
    </row>
    <row r="860" ht="30.0" customHeight="1">
      <c r="A860" s="8"/>
      <c r="E860" s="10"/>
    </row>
    <row r="861" ht="30.0" customHeight="1">
      <c r="A861" s="8"/>
      <c r="E861" s="10"/>
    </row>
    <row r="862" ht="30.0" customHeight="1">
      <c r="A862" s="8"/>
      <c r="E862" s="10"/>
    </row>
    <row r="863" ht="30.0" customHeight="1">
      <c r="A863" s="8"/>
      <c r="E863" s="10"/>
    </row>
    <row r="864" ht="30.0" customHeight="1">
      <c r="A864" s="8"/>
      <c r="E864" s="10"/>
    </row>
    <row r="865" ht="30.0" customHeight="1">
      <c r="A865" s="8"/>
      <c r="E865" s="10"/>
    </row>
    <row r="866" ht="30.0" customHeight="1">
      <c r="A866" s="8"/>
      <c r="E866" s="10"/>
    </row>
    <row r="867" ht="30.0" customHeight="1">
      <c r="A867" s="8"/>
      <c r="E867" s="10"/>
    </row>
    <row r="868" ht="30.0" customHeight="1">
      <c r="A868" s="8"/>
      <c r="E868" s="10"/>
    </row>
    <row r="869" ht="30.0" customHeight="1">
      <c r="A869" s="8"/>
      <c r="E869" s="10"/>
    </row>
    <row r="870" ht="30.0" customHeight="1">
      <c r="A870" s="8"/>
      <c r="E870" s="10"/>
    </row>
    <row r="871" ht="30.0" customHeight="1">
      <c r="A871" s="8"/>
      <c r="E871" s="10"/>
    </row>
    <row r="872" ht="30.0" customHeight="1">
      <c r="A872" s="8"/>
      <c r="E872" s="10"/>
    </row>
    <row r="873" ht="30.0" customHeight="1">
      <c r="A873" s="8"/>
      <c r="E873" s="10"/>
    </row>
    <row r="874" ht="30.0" customHeight="1">
      <c r="A874" s="8"/>
      <c r="E874" s="10"/>
    </row>
    <row r="875" ht="30.0" customHeight="1">
      <c r="A875" s="8"/>
      <c r="E875" s="10"/>
    </row>
    <row r="876" ht="30.0" customHeight="1">
      <c r="A876" s="8"/>
      <c r="E876" s="10"/>
    </row>
    <row r="877" ht="30.0" customHeight="1">
      <c r="A877" s="8"/>
      <c r="E877" s="10"/>
    </row>
    <row r="878" ht="30.0" customHeight="1">
      <c r="A878" s="8"/>
      <c r="E878" s="10"/>
    </row>
    <row r="879" ht="30.0" customHeight="1">
      <c r="A879" s="8"/>
      <c r="E879" s="10"/>
    </row>
    <row r="880" ht="30.0" customHeight="1">
      <c r="A880" s="8"/>
      <c r="E880" s="10"/>
    </row>
    <row r="881" ht="30.0" customHeight="1">
      <c r="A881" s="8"/>
      <c r="E881" s="10"/>
    </row>
    <row r="882" ht="30.0" customHeight="1">
      <c r="A882" s="8"/>
      <c r="E882" s="10"/>
    </row>
    <row r="883" ht="30.0" customHeight="1">
      <c r="A883" s="8"/>
      <c r="E883" s="10"/>
    </row>
    <row r="884" ht="30.0" customHeight="1">
      <c r="A884" s="8"/>
      <c r="E884" s="10"/>
    </row>
    <row r="885" ht="30.0" customHeight="1">
      <c r="A885" s="8"/>
      <c r="E885" s="10"/>
    </row>
    <row r="886" ht="30.0" customHeight="1">
      <c r="A886" s="8"/>
      <c r="E886" s="10"/>
    </row>
    <row r="887" ht="30.0" customHeight="1">
      <c r="A887" s="8"/>
      <c r="E887" s="10"/>
    </row>
    <row r="888" ht="30.0" customHeight="1">
      <c r="A888" s="8"/>
      <c r="E888" s="10"/>
    </row>
    <row r="889" ht="30.0" customHeight="1">
      <c r="A889" s="8"/>
      <c r="E889" s="10"/>
    </row>
    <row r="890" ht="30.0" customHeight="1">
      <c r="A890" s="8"/>
      <c r="E890" s="10"/>
    </row>
    <row r="891" ht="30.0" customHeight="1">
      <c r="A891" s="8"/>
      <c r="E891" s="10"/>
    </row>
    <row r="892" ht="30.0" customHeight="1">
      <c r="A892" s="8"/>
      <c r="E892" s="10"/>
    </row>
    <row r="893" ht="30.0" customHeight="1">
      <c r="A893" s="8"/>
      <c r="E893" s="10"/>
    </row>
    <row r="894" ht="30.0" customHeight="1">
      <c r="A894" s="8"/>
      <c r="E894" s="10"/>
    </row>
    <row r="895" ht="30.0" customHeight="1">
      <c r="A895" s="8"/>
      <c r="E895" s="10"/>
    </row>
    <row r="896" ht="30.0" customHeight="1">
      <c r="A896" s="8"/>
      <c r="E896" s="10"/>
    </row>
    <row r="897" ht="30.0" customHeight="1">
      <c r="A897" s="8"/>
      <c r="E897" s="10"/>
    </row>
    <row r="898" ht="30.0" customHeight="1">
      <c r="A898" s="8"/>
      <c r="E898" s="10"/>
    </row>
    <row r="899" ht="30.0" customHeight="1">
      <c r="A899" s="8"/>
      <c r="E899" s="10"/>
    </row>
    <row r="900" ht="30.0" customHeight="1">
      <c r="A900" s="8"/>
      <c r="E900" s="10"/>
    </row>
    <row r="901" ht="30.0" customHeight="1">
      <c r="A901" s="8"/>
      <c r="E901" s="10"/>
    </row>
    <row r="902" ht="30.0" customHeight="1">
      <c r="A902" s="8"/>
      <c r="E902" s="10"/>
    </row>
    <row r="903" ht="30.0" customHeight="1">
      <c r="A903" s="8"/>
      <c r="E903" s="10"/>
    </row>
    <row r="904" ht="30.0" customHeight="1">
      <c r="A904" s="8"/>
      <c r="E904" s="10"/>
    </row>
    <row r="905" ht="30.0" customHeight="1">
      <c r="A905" s="8"/>
      <c r="E905" s="10"/>
    </row>
    <row r="906" ht="30.0" customHeight="1">
      <c r="A906" s="8"/>
      <c r="E906" s="10"/>
    </row>
    <row r="907" ht="30.0" customHeight="1">
      <c r="A907" s="8"/>
      <c r="E907" s="10"/>
    </row>
    <row r="908" ht="30.0" customHeight="1">
      <c r="A908" s="8"/>
      <c r="E908" s="10"/>
    </row>
    <row r="909" ht="30.0" customHeight="1">
      <c r="A909" s="8"/>
      <c r="E909" s="10"/>
    </row>
    <row r="910" ht="30.0" customHeight="1">
      <c r="A910" s="8"/>
      <c r="E910" s="10"/>
    </row>
    <row r="911" ht="30.0" customHeight="1">
      <c r="A911" s="8"/>
      <c r="E911" s="10"/>
    </row>
    <row r="912" ht="30.0" customHeight="1">
      <c r="A912" s="8"/>
      <c r="E912" s="10"/>
    </row>
    <row r="913" ht="30.0" customHeight="1">
      <c r="A913" s="8"/>
      <c r="E913" s="10"/>
    </row>
    <row r="914" ht="30.0" customHeight="1">
      <c r="A914" s="8"/>
      <c r="E914" s="10"/>
    </row>
    <row r="915" ht="30.0" customHeight="1">
      <c r="A915" s="8"/>
      <c r="E915" s="10"/>
    </row>
    <row r="916" ht="30.0" customHeight="1">
      <c r="A916" s="8"/>
      <c r="E916" s="10"/>
    </row>
    <row r="917" ht="30.0" customHeight="1">
      <c r="A917" s="8"/>
      <c r="E917" s="10"/>
    </row>
    <row r="918" ht="30.0" customHeight="1">
      <c r="A918" s="8"/>
      <c r="E918" s="10"/>
    </row>
    <row r="919" ht="30.0" customHeight="1">
      <c r="A919" s="8"/>
      <c r="E919" s="10"/>
    </row>
    <row r="920" ht="30.0" customHeight="1">
      <c r="A920" s="8"/>
      <c r="E920" s="10"/>
    </row>
    <row r="921" ht="30.0" customHeight="1">
      <c r="A921" s="8"/>
      <c r="E921" s="10"/>
    </row>
    <row r="922" ht="30.0" customHeight="1">
      <c r="A922" s="8"/>
      <c r="E922" s="10"/>
    </row>
    <row r="923" ht="30.0" customHeight="1">
      <c r="A923" s="8"/>
      <c r="E923" s="10"/>
    </row>
    <row r="924" ht="30.0" customHeight="1">
      <c r="A924" s="8"/>
      <c r="E924" s="10"/>
    </row>
    <row r="925" ht="30.0" customHeight="1">
      <c r="A925" s="8"/>
      <c r="E925" s="10"/>
    </row>
    <row r="926" ht="30.0" customHeight="1">
      <c r="A926" s="8"/>
      <c r="E926" s="10"/>
    </row>
    <row r="927" ht="30.0" customHeight="1">
      <c r="A927" s="8"/>
      <c r="E927" s="10"/>
    </row>
    <row r="928" ht="30.0" customHeight="1">
      <c r="A928" s="8"/>
      <c r="E928" s="10"/>
    </row>
    <row r="929" ht="30.0" customHeight="1">
      <c r="A929" s="8"/>
      <c r="E929" s="10"/>
    </row>
    <row r="930" ht="30.0" customHeight="1">
      <c r="A930" s="8"/>
      <c r="E930" s="10"/>
    </row>
    <row r="931" ht="30.0" customHeight="1">
      <c r="A931" s="8"/>
      <c r="E931" s="10"/>
    </row>
    <row r="932" ht="30.0" customHeight="1">
      <c r="A932" s="8"/>
      <c r="E932" s="10"/>
    </row>
    <row r="933" ht="30.0" customHeight="1">
      <c r="A933" s="8"/>
      <c r="E933" s="10"/>
    </row>
    <row r="934" ht="30.0" customHeight="1">
      <c r="A934" s="8"/>
      <c r="E934" s="10"/>
    </row>
    <row r="935" ht="30.0" customHeight="1">
      <c r="A935" s="8"/>
      <c r="E935" s="10"/>
    </row>
    <row r="936" ht="30.0" customHeight="1">
      <c r="A936" s="8"/>
      <c r="E936" s="10"/>
    </row>
    <row r="937" ht="30.0" customHeight="1">
      <c r="A937" s="8"/>
      <c r="E937" s="10"/>
    </row>
    <row r="938" ht="30.0" customHeight="1">
      <c r="A938" s="8"/>
      <c r="E938" s="10"/>
    </row>
    <row r="939" ht="30.0" customHeight="1">
      <c r="A939" s="8"/>
      <c r="E939" s="10"/>
    </row>
    <row r="940" ht="30.0" customHeight="1">
      <c r="A940" s="8"/>
      <c r="E940" s="10"/>
    </row>
    <row r="941" ht="30.0" customHeight="1">
      <c r="A941" s="8"/>
      <c r="E941" s="10"/>
    </row>
    <row r="942" ht="30.0" customHeight="1">
      <c r="A942" s="8"/>
      <c r="E942" s="10"/>
    </row>
    <row r="943" ht="30.0" customHeight="1">
      <c r="A943" s="8"/>
      <c r="E943" s="10"/>
    </row>
    <row r="944" ht="30.0" customHeight="1">
      <c r="A944" s="8"/>
      <c r="E944" s="10"/>
    </row>
    <row r="945" ht="30.0" customHeight="1">
      <c r="A945" s="8"/>
      <c r="E945" s="10"/>
    </row>
    <row r="946" ht="30.0" customHeight="1">
      <c r="A946" s="8"/>
      <c r="E946" s="10"/>
    </row>
    <row r="947" ht="30.0" customHeight="1">
      <c r="A947" s="8"/>
      <c r="E947" s="10"/>
    </row>
    <row r="948" ht="30.0" customHeight="1">
      <c r="A948" s="8"/>
      <c r="E948" s="10"/>
    </row>
    <row r="949" ht="30.0" customHeight="1">
      <c r="A949" s="8"/>
      <c r="E949" s="10"/>
    </row>
    <row r="950" ht="30.0" customHeight="1">
      <c r="A950" s="8"/>
      <c r="E950" s="10"/>
    </row>
    <row r="951" ht="30.0" customHeight="1">
      <c r="A951" s="8"/>
      <c r="E951" s="10"/>
    </row>
    <row r="952" ht="30.0" customHeight="1">
      <c r="A952" s="8"/>
      <c r="E952" s="10"/>
    </row>
    <row r="953" ht="30.0" customHeight="1">
      <c r="A953" s="8"/>
      <c r="E953" s="10"/>
    </row>
    <row r="954" ht="30.0" customHeight="1">
      <c r="A954" s="8"/>
      <c r="E954" s="10"/>
    </row>
    <row r="955" ht="30.0" customHeight="1">
      <c r="A955" s="8"/>
      <c r="E955" s="10"/>
    </row>
    <row r="956" ht="30.0" customHeight="1">
      <c r="A956" s="8"/>
      <c r="E956" s="10"/>
    </row>
    <row r="957" ht="30.0" customHeight="1">
      <c r="A957" s="8"/>
      <c r="E957" s="10"/>
    </row>
    <row r="958" ht="30.0" customHeight="1">
      <c r="A958" s="8"/>
      <c r="E958" s="10"/>
    </row>
    <row r="959" ht="30.0" customHeight="1">
      <c r="A959" s="8"/>
      <c r="E959" s="10"/>
    </row>
    <row r="960" ht="30.0" customHeight="1">
      <c r="A960" s="8"/>
      <c r="E960" s="10"/>
    </row>
    <row r="961" ht="30.0" customHeight="1">
      <c r="A961" s="8"/>
      <c r="E961" s="10"/>
    </row>
    <row r="962" ht="30.0" customHeight="1">
      <c r="A962" s="8"/>
      <c r="E962" s="10"/>
    </row>
    <row r="963" ht="30.0" customHeight="1">
      <c r="A963" s="8"/>
      <c r="E963" s="10"/>
    </row>
    <row r="964" ht="30.0" customHeight="1">
      <c r="A964" s="8"/>
      <c r="E964" s="10"/>
    </row>
    <row r="965" ht="30.0" customHeight="1">
      <c r="A965" s="8"/>
      <c r="E965" s="10"/>
    </row>
    <row r="966" ht="30.0" customHeight="1">
      <c r="A966" s="8"/>
      <c r="E966" s="10"/>
    </row>
    <row r="967" ht="30.0" customHeight="1">
      <c r="A967" s="8"/>
      <c r="E967" s="10"/>
    </row>
    <row r="968" ht="30.0" customHeight="1">
      <c r="A968" s="8"/>
      <c r="E968" s="10"/>
    </row>
    <row r="969" ht="30.0" customHeight="1">
      <c r="A969" s="8"/>
      <c r="E969" s="10"/>
    </row>
    <row r="970" ht="30.0" customHeight="1">
      <c r="A970" s="8"/>
      <c r="E970" s="10"/>
    </row>
    <row r="971" ht="30.0" customHeight="1">
      <c r="A971" s="8"/>
      <c r="E971" s="10"/>
    </row>
    <row r="972" ht="30.0" customHeight="1">
      <c r="A972" s="8"/>
      <c r="E972" s="10"/>
    </row>
    <row r="973" ht="30.0" customHeight="1">
      <c r="A973" s="8"/>
      <c r="E973" s="10"/>
    </row>
    <row r="974" ht="30.0" customHeight="1">
      <c r="A974" s="8"/>
      <c r="E974" s="10"/>
    </row>
    <row r="975" ht="30.0" customHeight="1">
      <c r="A975" s="8"/>
      <c r="E975" s="10"/>
    </row>
    <row r="976" ht="30.0" customHeight="1">
      <c r="A976" s="8"/>
      <c r="E976" s="10"/>
    </row>
    <row r="977" ht="30.0" customHeight="1">
      <c r="A977" s="8"/>
      <c r="E977" s="10"/>
    </row>
    <row r="978" ht="30.0" customHeight="1">
      <c r="A978" s="8"/>
      <c r="E978" s="10"/>
    </row>
    <row r="979" ht="30.0" customHeight="1">
      <c r="A979" s="8"/>
      <c r="E979" s="10"/>
    </row>
    <row r="980" ht="30.0" customHeight="1">
      <c r="A980" s="8"/>
      <c r="E980" s="10"/>
    </row>
    <row r="981" ht="30.0" customHeight="1">
      <c r="A981" s="8"/>
      <c r="E981" s="10"/>
    </row>
    <row r="982" ht="30.0" customHeight="1">
      <c r="A982" s="8"/>
      <c r="E982" s="10"/>
    </row>
    <row r="983" ht="30.0" customHeight="1">
      <c r="A983" s="8"/>
      <c r="E983" s="10"/>
    </row>
    <row r="984" ht="30.0" customHeight="1">
      <c r="A984" s="8"/>
      <c r="E984" s="10"/>
    </row>
    <row r="985" ht="30.0" customHeight="1">
      <c r="A985" s="8"/>
      <c r="E985" s="10"/>
    </row>
    <row r="986" ht="30.0" customHeight="1">
      <c r="A986" s="8"/>
      <c r="E986" s="10"/>
    </row>
    <row r="987" ht="30.0" customHeight="1">
      <c r="A987" s="8"/>
      <c r="E987" s="10"/>
    </row>
    <row r="988" ht="30.0" customHeight="1">
      <c r="A988" s="8"/>
      <c r="E988" s="10"/>
    </row>
    <row r="989" ht="30.0" customHeight="1">
      <c r="A989" s="8"/>
      <c r="E989" s="10"/>
    </row>
    <row r="990" ht="30.0" customHeight="1">
      <c r="A990" s="8"/>
      <c r="E990" s="10"/>
    </row>
    <row r="991" ht="30.0" customHeight="1">
      <c r="A991" s="8"/>
      <c r="E991" s="10"/>
    </row>
    <row r="992" ht="30.0" customHeight="1">
      <c r="A992" s="8"/>
      <c r="E992" s="10"/>
    </row>
    <row r="993" ht="30.0" customHeight="1">
      <c r="A993" s="8"/>
      <c r="E993" s="10"/>
    </row>
    <row r="994" ht="30.0" customHeight="1">
      <c r="A994" s="8"/>
      <c r="E994" s="10"/>
    </row>
    <row r="995" ht="30.0" customHeight="1">
      <c r="A995" s="8"/>
      <c r="E995" s="10"/>
    </row>
    <row r="996" ht="30.0" customHeight="1">
      <c r="A996" s="8"/>
      <c r="E996" s="10"/>
    </row>
    <row r="997" ht="30.0" customHeight="1">
      <c r="A997" s="8"/>
      <c r="E997" s="10"/>
    </row>
    <row r="998" ht="30.0" customHeight="1">
      <c r="A998" s="8"/>
      <c r="E998" s="10"/>
    </row>
    <row r="999" ht="30.0" customHeight="1">
      <c r="A999" s="8"/>
      <c r="E999" s="10"/>
    </row>
    <row r="1000" ht="30.0" customHeight="1">
      <c r="A1000" s="8"/>
      <c r="E1000" s="10"/>
    </row>
    <row r="1001" ht="30.0" customHeight="1">
      <c r="A1001" s="8"/>
      <c r="E1001" s="10"/>
    </row>
    <row r="1002" ht="30.0" customHeight="1">
      <c r="A1002" s="8"/>
      <c r="E1002" s="10"/>
    </row>
    <row r="1003" ht="30.0" customHeight="1">
      <c r="A1003" s="8"/>
      <c r="E1003" s="10"/>
    </row>
    <row r="1004" ht="30.0" customHeight="1">
      <c r="A1004" s="8"/>
      <c r="E1004" s="10"/>
    </row>
    <row r="1005" ht="30.0" customHeight="1">
      <c r="A1005" s="8"/>
      <c r="E1005" s="10"/>
    </row>
    <row r="1006" ht="30.0" customHeight="1">
      <c r="A1006" s="8"/>
      <c r="E1006" s="10"/>
    </row>
    <row r="1007" ht="30.0" customHeight="1">
      <c r="A1007" s="8"/>
      <c r="E1007" s="10"/>
    </row>
    <row r="1008" ht="30.0" customHeight="1">
      <c r="A1008" s="8"/>
      <c r="E1008" s="10"/>
    </row>
    <row r="1009" ht="30.0" customHeight="1">
      <c r="A1009" s="8"/>
      <c r="E1009" s="10"/>
    </row>
    <row r="1010" ht="30.0" customHeight="1">
      <c r="A1010" s="8"/>
      <c r="E1010" s="10"/>
    </row>
    <row r="1011" ht="30.0" customHeight="1">
      <c r="A1011" s="8"/>
      <c r="E1011" s="10"/>
    </row>
    <row r="1012" ht="30.0" customHeight="1">
      <c r="A1012" s="8"/>
      <c r="E1012" s="10"/>
    </row>
    <row r="1013" ht="30.0" customHeight="1">
      <c r="A1013" s="8"/>
      <c r="E1013" s="10"/>
    </row>
    <row r="1014" ht="30.0" customHeight="1">
      <c r="A1014" s="8"/>
      <c r="E1014" s="10"/>
    </row>
    <row r="1015" ht="30.0" customHeight="1">
      <c r="A1015" s="8"/>
      <c r="E1015" s="10"/>
    </row>
    <row r="1016" ht="30.0" customHeight="1">
      <c r="A1016" s="8"/>
      <c r="E1016" s="10"/>
    </row>
    <row r="1017" ht="30.0" customHeight="1">
      <c r="A1017" s="8"/>
      <c r="E1017" s="10"/>
    </row>
    <row r="1018" ht="30.0" customHeight="1">
      <c r="A1018" s="8"/>
      <c r="E1018" s="10"/>
    </row>
    <row r="1019" ht="30.0" customHeight="1">
      <c r="A1019" s="8"/>
      <c r="E1019" s="10"/>
    </row>
    <row r="1020" ht="30.0" customHeight="1">
      <c r="A1020" s="8"/>
      <c r="E1020" s="10"/>
    </row>
    <row r="1021" ht="30.0" customHeight="1">
      <c r="A1021" s="8"/>
      <c r="E1021" s="10"/>
    </row>
    <row r="1022" ht="30.0" customHeight="1">
      <c r="A1022" s="8"/>
      <c r="E1022" s="10"/>
    </row>
    <row r="1023" ht="30.0" customHeight="1">
      <c r="A1023" s="8"/>
      <c r="E1023" s="10"/>
    </row>
    <row r="1024" ht="30.0" customHeight="1">
      <c r="A1024" s="8"/>
      <c r="E1024" s="10"/>
    </row>
    <row r="1025" ht="30.0" customHeight="1">
      <c r="A1025" s="8"/>
      <c r="E1025" s="10"/>
    </row>
    <row r="1026" ht="30.0" customHeight="1">
      <c r="A1026" s="8"/>
      <c r="E1026" s="10"/>
    </row>
    <row r="1027" ht="30.0" customHeight="1">
      <c r="A1027" s="8"/>
      <c r="E1027" s="10"/>
    </row>
    <row r="1028" ht="30.0" customHeight="1">
      <c r="A1028" s="8"/>
      <c r="E1028" s="10"/>
    </row>
    <row r="1029" ht="30.0" customHeight="1">
      <c r="A1029" s="8"/>
      <c r="E1029" s="10"/>
    </row>
    <row r="1030" ht="30.0" customHeight="1">
      <c r="A1030" s="8"/>
      <c r="E1030" s="10"/>
    </row>
    <row r="1031" ht="30.0" customHeight="1">
      <c r="A1031" s="8"/>
      <c r="E1031" s="10"/>
    </row>
    <row r="1032" ht="30.0" customHeight="1">
      <c r="A1032" s="8"/>
      <c r="E1032" s="10"/>
    </row>
    <row r="1033" ht="30.0" customHeight="1">
      <c r="A1033" s="8"/>
      <c r="E1033" s="10"/>
    </row>
    <row r="1034" ht="30.0" customHeight="1">
      <c r="A1034" s="8"/>
      <c r="E1034" s="10"/>
    </row>
    <row r="1035" ht="30.0" customHeight="1">
      <c r="A1035" s="8"/>
      <c r="E1035" s="10"/>
    </row>
    <row r="1036" ht="30.0" customHeight="1">
      <c r="A1036" s="8"/>
      <c r="E1036" s="10"/>
    </row>
    <row r="1037" ht="30.0" customHeight="1">
      <c r="A1037" s="8"/>
      <c r="E1037" s="10"/>
    </row>
    <row r="1038" ht="30.0" customHeight="1">
      <c r="A1038" s="8"/>
      <c r="E1038" s="10"/>
    </row>
    <row r="1039" ht="30.0" customHeight="1">
      <c r="A1039" s="8"/>
      <c r="E1039" s="10"/>
    </row>
    <row r="1040" ht="30.0" customHeight="1">
      <c r="A1040" s="8"/>
      <c r="E1040" s="10"/>
    </row>
    <row r="1041" ht="30.0" customHeight="1">
      <c r="A1041" s="8"/>
      <c r="E1041" s="10"/>
    </row>
  </sheetData>
  <mergeCells count="69">
    <mergeCell ref="AV53:CE53"/>
    <mergeCell ref="BY54:CU54"/>
    <mergeCell ref="X56:CZ56"/>
    <mergeCell ref="AF57:CZ57"/>
    <mergeCell ref="CN58:CZ58"/>
    <mergeCell ref="CD59:CF59"/>
    <mergeCell ref="CI60:CZ60"/>
    <mergeCell ref="BG37:BJ37"/>
    <mergeCell ref="BJ38:BQ38"/>
    <mergeCell ref="BN40:BQ40"/>
    <mergeCell ref="BQ41:CE41"/>
    <mergeCell ref="CF42:CL42"/>
    <mergeCell ref="CL43:CS43"/>
    <mergeCell ref="AL33:BA33"/>
    <mergeCell ref="AR34:BO34"/>
    <mergeCell ref="BY35:CT35"/>
    <mergeCell ref="AB48:AG48"/>
    <mergeCell ref="AE49:AI49"/>
    <mergeCell ref="CC50:CV50"/>
    <mergeCell ref="BA51:CZ51"/>
    <mergeCell ref="CS44:CZ44"/>
    <mergeCell ref="CH4:CN4"/>
    <mergeCell ref="CO4:CU4"/>
    <mergeCell ref="CV4:DB4"/>
    <mergeCell ref="DC4:DI4"/>
    <mergeCell ref="AK4:AQ4"/>
    <mergeCell ref="AR4:AX4"/>
    <mergeCell ref="AY4:BE4"/>
    <mergeCell ref="BF4:BL4"/>
    <mergeCell ref="BM4:BS4"/>
    <mergeCell ref="BT4:BZ4"/>
    <mergeCell ref="CA4:CG4"/>
    <mergeCell ref="B3:B4"/>
    <mergeCell ref="E3:F3"/>
    <mergeCell ref="C4:D4"/>
    <mergeCell ref="I4:O4"/>
    <mergeCell ref="P4:V4"/>
    <mergeCell ref="W4:AC4"/>
    <mergeCell ref="AD4:AJ4"/>
    <mergeCell ref="I9:L9"/>
    <mergeCell ref="K10:L10"/>
    <mergeCell ref="K11:N11"/>
    <mergeCell ref="O12:Q12"/>
    <mergeCell ref="Q13:W13"/>
    <mergeCell ref="R14:X14"/>
    <mergeCell ref="Y17:Z17"/>
    <mergeCell ref="Z18:AC18"/>
    <mergeCell ref="AA19:AP19"/>
    <mergeCell ref="CF20:CZ20"/>
    <mergeCell ref="AN21:AS21"/>
    <mergeCell ref="CK22:CZ22"/>
    <mergeCell ref="AA23:AH23"/>
    <mergeCell ref="AX24:CE24"/>
    <mergeCell ref="CA61:CI61"/>
    <mergeCell ref="CO62:CS62"/>
    <mergeCell ref="CO63:CS63"/>
    <mergeCell ref="CP64:CT64"/>
    <mergeCell ref="BV65:BZ65"/>
    <mergeCell ref="L66:CY66"/>
    <mergeCell ref="BK39:DA39"/>
    <mergeCell ref="CK45:DA45"/>
    <mergeCell ref="DA46:DF46"/>
    <mergeCell ref="BA25:BH25"/>
    <mergeCell ref="Z26:CZ26"/>
    <mergeCell ref="AJ28:AL28"/>
    <mergeCell ref="AK29:AM29"/>
    <mergeCell ref="AV30:BE30"/>
    <mergeCell ref="AM31:CJ31"/>
    <mergeCell ref="AN32:AQ32"/>
  </mergeCells>
  <conditionalFormatting sqref="I5:DI74">
    <cfRule type="expression" dxfId="0" priority="1">
      <formula>AND(TODAY()&gt;=I$5,TODAY()&lt;J$5)</formula>
    </cfRule>
  </conditionalFormatting>
  <dataValidations>
    <dataValidation type="decimal" operator="greaterThanOrEqual" allowBlank="1" showInputMessage="1" prompt="Mostrar semana - Al cambiar este número, se desplazará la vista del diagrama de Gantt." sqref="E4">
      <formula1>1.0</formula1>
    </dataValidation>
  </dataValidations>
  <hyperlinks>
    <hyperlink r:id="rId1" ref="I1"/>
    <hyperlink r:id="rId2" ref="I2"/>
  </hyperlinks>
  <printOptions horizontalCentered="1"/>
  <pageMargins bottom="0.5" footer="0.0" header="0.0" left="0.35" right="0.35" top="0.35"/>
  <pageSetup fitToHeight="0" paperSize="9" orientation="landscape"/>
  <headerFooter>
    <oddFooter/>
  </headerFooter>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2021-12-14T20:18:50Z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